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2.xml" ContentType="application/vnd.openxmlformats-officedocument.drawing+xml"/>
  <Override PartName="/xl/ctrlProps/ctrlProp19.xml" ContentType="application/vnd.ms-excel.controlproperties+xml"/>
  <Override PartName="/xl/drawings/drawing3.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omments2.xml" ContentType="application/vnd.openxmlformats-officedocument.spreadsheetml.comments+xml"/>
  <Override PartName="/xl/drawings/drawing5.xml" ContentType="application/vnd.openxmlformats-officedocument.drawing+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drawings/drawing6.xml" ContentType="application/vnd.openxmlformats-officedocument.drawing+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drawings/drawing7.xml" ContentType="application/vnd.openxmlformats-officedocument.drawing+xml"/>
  <Override PartName="/xl/ctrlProps/ctrlProp54.xml" ContentType="application/vnd.ms-excel.controlproperties+xml"/>
  <Override PartName="/xl/ctrlProps/ctrlProp55.xml" ContentType="application/vnd.ms-excel.controlproperties+xml"/>
  <Override PartName="/xl/comments3.xml" ContentType="application/vnd.openxmlformats-officedocument.spreadsheetml.comments+xml"/>
  <Override PartName="/xl/drawings/drawing8.xml" ContentType="application/vnd.openxmlformats-officedocument.drawing+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drawings/drawing9.xml" ContentType="application/vnd.openxmlformats-officedocument.drawing+xml"/>
  <Override PartName="/xl/ctrlProps/ctrlProp59.xml" ContentType="application/vnd.ms-excel.controlproperties+xml"/>
  <Override PartName="/xl/drawings/drawing10.xml" ContentType="application/vnd.openxmlformats-officedocument.drawing+xml"/>
  <Override PartName="/xl/ctrlProps/ctrlProp60.xml" ContentType="application/vnd.ms-excel.controlproperties+xml"/>
  <Override PartName="/xl/ctrlProps/ctrlProp61.xml" ContentType="application/vnd.ms-excel.controlproperties+xml"/>
  <Override PartName="/xl/drawings/drawing11.xml" ContentType="application/vnd.openxmlformats-officedocument.drawing+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omments4.xml" ContentType="application/vnd.openxmlformats-officedocument.spreadsheetml.comments+xml"/>
  <Override PartName="/xl/drawings/drawing12.xml" ContentType="application/vnd.openxmlformats-officedocument.drawing+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omments5.xml" ContentType="application/vnd.openxmlformats-officedocument.spreadsheetml.comments+xml"/>
  <Override PartName="/xl/drawings/drawing13.xml" ContentType="application/vnd.openxmlformats-officedocument.drawing+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drawings/drawing14.xml" ContentType="application/vnd.openxmlformats-officedocument.drawing+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omments6.xml" ContentType="application/vnd.openxmlformats-officedocument.spreadsheetml.comments+xml"/>
  <Override PartName="/xl/drawings/drawing15.xml" ContentType="application/vnd.openxmlformats-officedocument.drawing+xml"/>
  <Override PartName="/xl/ctrlProps/ctrlProp83.xml" ContentType="application/vnd.ms-excel.controlproperties+xml"/>
  <Override PartName="/xl/ctrlProps/ctrlProp84.xml" ContentType="application/vnd.ms-excel.controlproperties+xml"/>
  <Override PartName="/xl/drawings/drawing16.xml" ContentType="application/vnd.openxmlformats-officedocument.drawing+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17.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01" codeName="{5022B3EB-BCE5-7840-4BB8-8062D341818C}"/>
  <workbookPr codeName="ThisWorkbook" defaultThemeVersion="166925"/>
  <mc:AlternateContent xmlns:mc="http://schemas.openxmlformats.org/markup-compatibility/2006">
    <mc:Choice Requires="x15">
      <x15ac:absPath xmlns:x15ac="http://schemas.microsoft.com/office/spreadsheetml/2010/11/ac" url="Z:\3. America\Prestadores\SGI 53449-2023 eDealers\"/>
    </mc:Choice>
  </mc:AlternateContent>
  <xr:revisionPtr revIDLastSave="0" documentId="13_ncr:1_{860EDEA9-BE4E-4C16-BA64-044DEF8F8143}" xr6:coauthVersionLast="47" xr6:coauthVersionMax="47" xr10:uidLastSave="{00000000-0000-0000-0000-000000000000}"/>
  <bookViews>
    <workbookView xWindow="20370" yWindow="-4680" windowWidth="29040" windowHeight="15840" tabRatio="626" firstSheet="3" activeTab="3" xr2:uid="{FD4C6888-33C2-47B5-A663-D4380D32AA9B}"/>
  </bookViews>
  <sheets>
    <sheet name="Inicio" sheetId="21" state="hidden" r:id="rId1"/>
    <sheet name="Aux" sheetId="1" state="hidden" r:id="rId2"/>
    <sheet name="Instructivo" sheetId="29" state="hidden" r:id="rId3"/>
    <sheet name="S.E.-Filial" sheetId="2" r:id="rId4"/>
    <sheet name="S.E.-NoFilial" sheetId="3" state="hidden" r:id="rId5"/>
    <sheet name="Prestadores" sheetId="19" state="hidden" r:id="rId6"/>
    <sheet name="Aspectos Admon-Ope" sheetId="24" state="hidden" r:id="rId7"/>
    <sheet name="Excepciones" sheetId="12" state="hidden" r:id="rId8"/>
    <sheet name="ReqSOFOM" sheetId="16" state="hidden" r:id="rId9"/>
    <sheet name="ReqExcepciones" sheetId="6" state="hidden" r:id="rId10"/>
    <sheet name="Catalogo Ref" sheetId="18" state="hidden" r:id="rId11"/>
    <sheet name="Subcontratación" sheetId="25" state="hidden" r:id="rId12"/>
    <sheet name="S.N.-SubyER" sheetId="4" state="hidden" r:id="rId13"/>
    <sheet name="S.N.-NoSubyER" sheetId="5" state="hidden" r:id="rId14"/>
    <sheet name="Aspectos Supervisión" sheetId="23" state="hidden" r:id="rId15"/>
    <sheet name="Evaluación" sheetId="11" state="hidden" r:id="rId16"/>
    <sheet name="Datos" sheetId="17" state="hidden" r:id="rId17"/>
    <sheet name="EvaluaciónExcep" sheetId="26" state="hidden" r:id="rId18"/>
    <sheet name="EvaluaciónSOFOM" sheetId="28" state="hidden" r:id="rId19"/>
  </sheet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G2" i="1" l="1"/>
  <c r="AC2" i="1"/>
  <c r="AL2" i="1"/>
  <c r="AM2" i="1"/>
  <c r="AK2" i="1"/>
  <c r="AJ2" i="1"/>
  <c r="AI2" i="1"/>
  <c r="AH2" i="1"/>
  <c r="C23" i="11" l="1"/>
  <c r="AN2" i="1" s="1" a="1"/>
  <c r="AN2" i="1" s="1"/>
  <c r="B100" i="11"/>
  <c r="P2" i="1" l="1"/>
  <c r="R1" i="19" a="1"/>
  <c r="R1" i="19" s="1"/>
  <c r="AA2" i="1"/>
  <c r="X2" i="1"/>
  <c r="G49" i="1"/>
  <c r="H1" i="19" a="1"/>
  <c r="H1" i="19" s="1"/>
  <c r="D1" i="19" a="1"/>
  <c r="D1" i="19" s="1"/>
  <c r="D8" i="1"/>
  <c r="Y2" i="1"/>
  <c r="AE2" i="1"/>
  <c r="AD2" i="1"/>
  <c r="AF2" i="1"/>
  <c r="F49" i="1"/>
  <c r="M2" i="1"/>
  <c r="M3" i="1"/>
  <c r="M4" i="1"/>
  <c r="M5" i="1"/>
  <c r="M6" i="1"/>
  <c r="M7" i="1"/>
  <c r="M8" i="1"/>
  <c r="M9" i="1"/>
  <c r="M10" i="1"/>
  <c r="M11" i="1"/>
  <c r="M12" i="1"/>
  <c r="M13" i="1"/>
  <c r="M14" i="1"/>
  <c r="M15" i="1"/>
  <c r="M16" i="1"/>
  <c r="M17" i="1"/>
  <c r="M1" i="1"/>
  <c r="W2" i="1" l="1"/>
  <c r="AB2" i="1"/>
  <c r="Z2" i="1"/>
  <c r="M18"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Hernández Reyes Josefina</author>
    <author>Xinol Hernández Waldo Azael</author>
  </authors>
  <commentList>
    <comment ref="E14" authorId="0" shapeId="0" xr:uid="{DC51EC2F-8C39-46A4-9626-74EC00B4ECFA}">
      <text>
        <r>
          <rPr>
            <b/>
            <sz val="9"/>
            <color indexed="81"/>
            <rFont val="Montserrat"/>
          </rPr>
          <t>Ver Artículo 326 en "Referencia"</t>
        </r>
        <r>
          <rPr>
            <sz val="9"/>
            <color indexed="81"/>
            <rFont val="Tahoma"/>
            <family val="2"/>
          </rPr>
          <t xml:space="preserve">
</t>
        </r>
      </text>
    </comment>
    <comment ref="D26" authorId="1" shapeId="0" xr:uid="{74AA6D20-6076-4496-8E0B-8D21FAE1C89B}">
      <text>
        <r>
          <rPr>
            <b/>
            <sz val="9"/>
            <color indexed="81"/>
            <rFont val="Montserrat"/>
          </rPr>
          <t>Para llenar este requerimiento, se hace mediante el botón Subcontratado</t>
        </r>
      </text>
    </comment>
    <comment ref="E27" authorId="0" shapeId="0" xr:uid="{6353F3BD-7310-45ED-9116-ED5FDBEB73F9}">
      <text>
        <r>
          <rPr>
            <b/>
            <sz val="9"/>
            <color indexed="81"/>
            <rFont val="Montserrat"/>
          </rPr>
          <t xml:space="preserve">Ver artículo 334 en pestaña "Referencia" </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Xinol Hernández Waldo Azael</author>
  </authors>
  <commentList>
    <comment ref="D29" authorId="0" shapeId="0" xr:uid="{AE754F6E-CCB3-4B08-87CE-4A4F081B304A}">
      <text>
        <r>
          <rPr>
            <sz val="9"/>
            <color indexed="81"/>
            <rFont val="Tahoma"/>
            <family val="2"/>
          </rPr>
          <t>Para llenar este requerimiento, se hace mediante el botón Subcontratado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Xinol Hernández Waldo Azael</author>
  </authors>
  <commentList>
    <comment ref="F5" authorId="0" shapeId="0" xr:uid="{40A1DE27-7105-4F1C-AF75-B20D7C3EDF56}">
      <text>
        <r>
          <rPr>
            <b/>
            <sz val="9"/>
            <color indexed="81"/>
            <rFont val="Tahoma"/>
            <family val="2"/>
          </rPr>
          <t>En caso de no ser visible la opción, se puede escribir "Cumple" o "No cumple"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Xinol Hernández Waldo Azael</author>
  </authors>
  <commentList>
    <comment ref="D18" authorId="0" shapeId="0" xr:uid="{DF7DBD25-74C5-4237-A7B6-8B757F14A134}">
      <text>
        <r>
          <rPr>
            <sz val="9"/>
            <color indexed="81"/>
            <rFont val="Tahoma"/>
            <family val="2"/>
          </rPr>
          <t>Para llenar este requerimiento, se hace mediante el botón Subcontratado</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Xinol Hernández Waldo Azael</author>
  </authors>
  <commentList>
    <comment ref="D20" authorId="0" shapeId="0" xr:uid="{E5BBC1A1-DDB2-4524-A1EC-74F9F61693DF}">
      <text>
        <r>
          <rPr>
            <sz val="9"/>
            <color indexed="81"/>
            <rFont val="Tahoma"/>
            <family val="2"/>
          </rPr>
          <t>Para llenar este requerimiento, se hace mediante el botón Subcontratado, siempre y cuando se haya identificado una subcontratación.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Xinol Hernández Waldo Azael</author>
  </authors>
  <commentList>
    <comment ref="C23" authorId="0" shapeId="0" xr:uid="{A57AB158-A844-4A7E-8C3A-6DAA01E9B601}">
      <text>
        <r>
          <rPr>
            <sz val="9"/>
            <color indexed="81"/>
            <rFont val="Tahoma"/>
            <family val="2"/>
          </rPr>
          <t>No modificar ni eliminar esta celda</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<sst xmlns="http://schemas.openxmlformats.org/spreadsheetml/2006/main" count="1030" uniqueCount="512">
  <si>
    <t/>
  </si>
  <si>
    <t>BITÁCORA DE CUMPLIMIENTO PARA AUTORIZACIÓN DE CELEBRACIÓN DE COMISIONES MERCANTILES Y PRESTACIÓN DE SERVICIOS CON TERCEROS, AL AMPARO DEL ARTÍCULO 46 BIS 1 DE LA LEY DE INSTITUCIONES DE CRÉDITO (CAPÍTULO XI DE LA CIRCULAR ÚNICA DE BANCOS).</t>
  </si>
  <si>
    <t>Registro del asunto a evaluar</t>
  </si>
  <si>
    <t>Selecciona el año</t>
  </si>
  <si>
    <t>Selecciona el mes</t>
  </si>
  <si>
    <t>Selecciona el día</t>
  </si>
  <si>
    <t>SGI</t>
  </si>
  <si>
    <t>Institución</t>
  </si>
  <si>
    <t>Si no se ve</t>
  </si>
  <si>
    <t>haz click aquí</t>
  </si>
  <si>
    <t>Datos del prestador de servicios</t>
  </si>
  <si>
    <t>¿Es un servicio nacional o extranjero?</t>
  </si>
  <si>
    <t>¿Existe subcontratación?</t>
  </si>
  <si>
    <t>¿El servicio es prestado por una filial, subsidiaria, ER, EF o ninguna anterior?</t>
  </si>
  <si>
    <t>Selecciona el prestador de servicios</t>
  </si>
  <si>
    <t>Nombre del servicio</t>
  </si>
  <si>
    <t>¿Qué tipo de servicio es (proceso operativo, administración de bases de datos y/o sistema informático) o se trata de una excepción del Art. 317 de la CUB o facilidad a la SOFOM (Art. 72 de la CUIFE)?</t>
  </si>
  <si>
    <t>Excepciones</t>
  </si>
  <si>
    <t>Outsorcing</t>
  </si>
  <si>
    <t>Calidad</t>
  </si>
  <si>
    <t>Servicio</t>
  </si>
  <si>
    <t>Hoja anterior</t>
  </si>
  <si>
    <t>Hoja anterior subcont</t>
  </si>
  <si>
    <t>excepcion actial</t>
  </si>
  <si>
    <t>Num de hoja</t>
  </si>
  <si>
    <t>Nombre</t>
  </si>
  <si>
    <t>ID</t>
  </si>
  <si>
    <t>Entidad</t>
  </si>
  <si>
    <t>Fecha de Recepción en la CNBV</t>
  </si>
  <si>
    <t>Nombre Prestador</t>
  </si>
  <si>
    <t>Nombre Servicio</t>
  </si>
  <si>
    <t>Tipo de servicio</t>
  </si>
  <si>
    <t>Servicio nacional o extranjero</t>
  </si>
  <si>
    <t>Servicio provisto por una Filial</t>
  </si>
  <si>
    <t>Servicio subcontratado</t>
  </si>
  <si>
    <t>¿El servicio es relevante?</t>
  </si>
  <si>
    <t>Descripción Servicio</t>
  </si>
  <si>
    <t>Negocio en donde se aplica el servicio</t>
  </si>
  <si>
    <t>Producto en donde se aplica el servicio</t>
  </si>
  <si>
    <t>Áreas involucradas en el servicio</t>
  </si>
  <si>
    <t>Sistemas</t>
  </si>
  <si>
    <t>Continuidad Operativa</t>
  </si>
  <si>
    <t>Calificación Revisión</t>
  </si>
  <si>
    <t>Sí</t>
  </si>
  <si>
    <t>Cumple</t>
  </si>
  <si>
    <t>Instructivo</t>
  </si>
  <si>
    <t>No</t>
  </si>
  <si>
    <t>No cumple</t>
  </si>
  <si>
    <t>ReqExcepciones</t>
  </si>
  <si>
    <t>S.E.-Filial</t>
  </si>
  <si>
    <t xml:space="preserve">Procesos operativos </t>
  </si>
  <si>
    <t>S.E.-NoFilial</t>
  </si>
  <si>
    <t>Administración de bases de datos</t>
  </si>
  <si>
    <t>S.N.-SubyER</t>
  </si>
  <si>
    <t>Operación extranjera</t>
  </si>
  <si>
    <t>Sistemas informáticos</t>
  </si>
  <si>
    <t>S.N.-NoSubyER</t>
  </si>
  <si>
    <t>Servicio Extranjero</t>
  </si>
  <si>
    <t>Facilidad SOFOM</t>
  </si>
  <si>
    <t>Subcontratación</t>
  </si>
  <si>
    <t>Servicio Nacional</t>
  </si>
  <si>
    <t>Procesos operativos  y Administración de bases de datos</t>
  </si>
  <si>
    <t>ReqSOFOM</t>
  </si>
  <si>
    <t>Procesos operativos y Sistemas informáticos</t>
  </si>
  <si>
    <t>Catalogo Ref</t>
  </si>
  <si>
    <t>Filial</t>
  </si>
  <si>
    <t>Subs</t>
  </si>
  <si>
    <t>Administración de bases de datos y Sistemas informáticos</t>
  </si>
  <si>
    <t>Aspectos Supervisión</t>
  </si>
  <si>
    <t>Subsidiaria o empresa relacionada</t>
  </si>
  <si>
    <t>Procesos operativos , Administración de bases de datos y Sistemas Informáticos</t>
  </si>
  <si>
    <t>Aspectos Admon-Ope</t>
  </si>
  <si>
    <t>No filial</t>
  </si>
  <si>
    <t>Entidad financiera</t>
  </si>
  <si>
    <t>Evaluación</t>
  </si>
  <si>
    <t>Contratación directa</t>
  </si>
  <si>
    <t>EvaluaciónExcep</t>
  </si>
  <si>
    <t>EvaluaciónSOFOM</t>
  </si>
  <si>
    <t>Operaciones</t>
  </si>
  <si>
    <t>Datos</t>
  </si>
  <si>
    <t>No aplica</t>
  </si>
  <si>
    <t>I. Recibir depósitos bancarios de dinero: a) A la vista; b) Retirables en días preestablecidos; c) De ahorro, y d) A plazo o con previo aviso</t>
  </si>
  <si>
    <t>II. Aceptar préstamos y créditos</t>
  </si>
  <si>
    <t>III. Emitir bonos bancarios</t>
  </si>
  <si>
    <t>IV, Emitir obligaciones subordinadas</t>
  </si>
  <si>
    <t>V. Constituir depósitos en instituciones de crédito y entidades financieras del exterior</t>
  </si>
  <si>
    <t>VI. Efectuar descuentos y otorgar préstamos o créditos</t>
  </si>
  <si>
    <t>VII. Expedir tarjetas de crédito con base en contratos de apertura de crédito en cuenta corriente</t>
  </si>
  <si>
    <t>VIII. Asumir obligaciones por cuenta de terceros, con base en créditos concedidos, a través del otorgamiento de aceptaciones, endoso o aval de títulos de crédito, así como de la expedición de cartas de crédito</t>
  </si>
  <si>
    <t>IX. Operar con valores en los términos de las disposiciones de la presente Ley y de la Ley del Mercado de Valores</t>
  </si>
  <si>
    <t>X. Promover la organización y transformación de toda clase de empresas o sociedades mercantiles y suscribir y conservar acciones o partes de interés en las mismas, en los términos de esta Ley</t>
  </si>
  <si>
    <t>XI. Operar con documentos mercantiles por cuenta propia</t>
  </si>
  <si>
    <t>XII. Llevar a cabo por cuenta propia o de terceros operaciones con oro, plata y divisas, incluyendo reportos sobre estas últimas</t>
  </si>
  <si>
    <t>XIII. Prestar servicio de cajas de seguridad</t>
  </si>
  <si>
    <t>XIV. Expedir cartas de crédito previa recepción de su importe, hacer efectivos créditos y realizar pagos por cuenta de clientes</t>
  </si>
  <si>
    <t>XV. Practicar las operaciones de fideicomiso a que se refiere la Ley General de Títulos y Operaciones de Crédito, y llevar a cabo mandatos y comisiones</t>
  </si>
  <si>
    <t>XVI. Recibir depósitos en administración o custodia, o en garantía por cuenta de terceros, de títulos o valores y en general de documentos mercantiles</t>
  </si>
  <si>
    <t>XVII. Actuar como representante común de los tenedores de títulos de crédito</t>
  </si>
  <si>
    <t>XVIII. Hacer servicio de caja y tesorería relativo a títulos de crédito, por cuenta de las emisoras</t>
  </si>
  <si>
    <t>XIX. Llevar la contabilidad y los libros de actas y de registro de sociedades y empresas</t>
  </si>
  <si>
    <t>XX. Desempeñar el cargo de albacea</t>
  </si>
  <si>
    <t>XXI. Desempeñar la sindicatura o encargarse de la liquidación judicial o extrajudicial de negociaciones, establecimientos, concursos o herencias;</t>
  </si>
  <si>
    <t>XXII. Encargarse de hacer avalúos que tendrán la misma fuerza probatoria que las leyes asignan a los hechos por corredor público o perito</t>
  </si>
  <si>
    <t>XXIII. Adquirir los bienes muebles e inmuebles necesarios para la realización de su objeto y enajenarlos cuando corresponda</t>
  </si>
  <si>
    <t>XXIV. Celebrar contratos de arrendamiento financiero y adquirir los bienes que sean objeto de tales contratos</t>
  </si>
  <si>
    <t>XXV. Realizar operaciones derivadas, sujetándose a las disposiciones técnicas y operativas que expida el Banco de México, en las cuales se establezcan las características de dichas operaciones, tales como tipos, plazos, contrapartes, subyacentes, garantías y formas de liquidación</t>
  </si>
  <si>
    <t>XXVI. Efectuar operaciones de factoraje financiero</t>
  </si>
  <si>
    <t>XXVI Bis. Emitir y poner en circulación cualquier medio de pago que determine el Banco de México, sujetándose a las disposiciones técnicas y operativas que éste expida, en las cuales se establezcan entre otras características, las relativas a su uso, monto y vigencia, a fin de propiciar el uso de diversos medios de pago</t>
  </si>
  <si>
    <t>XXVII. Intervenir en la contratación de seguros para lo cual deberán cumplir con lo establecido en la Ley General de Instituciones y Sociedades Mutualistas de Seguros y en las disposiciones de carácter general que de la misma emanen</t>
  </si>
  <si>
    <t>XXVIII. Las análogas o conexas que autorice la Secretaría de Hacienda y Crédito Público, oyendo la opinión del Banco de México y de la Comisión Nacional Bancaria y de Valores</t>
  </si>
  <si>
    <t>Fechas</t>
  </si>
  <si>
    <t>Día</t>
  </si>
  <si>
    <t>Mes</t>
  </si>
  <si>
    <t>Año</t>
  </si>
  <si>
    <t>Enero</t>
  </si>
  <si>
    <t>Febrero</t>
  </si>
  <si>
    <t>Marzo</t>
  </si>
  <si>
    <t>Abril</t>
  </si>
  <si>
    <t>Mayo</t>
  </si>
  <si>
    <t>Junio</t>
  </si>
  <si>
    <t>Julio</t>
  </si>
  <si>
    <t>Agosto</t>
  </si>
  <si>
    <t>Septiembre</t>
  </si>
  <si>
    <t>Octubre</t>
  </si>
  <si>
    <t>Noviembre</t>
  </si>
  <si>
    <t>Diciembre</t>
  </si>
  <si>
    <t>1 LETRA</t>
  </si>
  <si>
    <t>SN O SE</t>
  </si>
  <si>
    <t>3 DIGITOS</t>
  </si>
  <si>
    <t>PRESTADOR</t>
  </si>
  <si>
    <t>SERVICIO</t>
  </si>
  <si>
    <t>2 DIGITOS</t>
  </si>
  <si>
    <t>AÑO</t>
  </si>
  <si>
    <t>6 DIGITOS</t>
  </si>
  <si>
    <t>Instrucciones de uso de bitácotra</t>
  </si>
  <si>
    <t>Acciones que se tienen que evitar:</t>
  </si>
  <si>
    <t>1. Evitar mostrar hojas manualmente, esto puede causar errores en los botones de navegación.</t>
  </si>
  <si>
    <t>2. Evitar modificar la celda A100 de todas las hojas, ya que es un índice que sirve de para los botones de navegación.</t>
  </si>
  <si>
    <t>3. Evita modificar la columna XDF (la última), ya que sirven de referencia para mostrar las observaciones para oficio.</t>
  </si>
  <si>
    <r>
      <t xml:space="preserve">4. Evita modificar o eliminar la hoja </t>
    </r>
    <r>
      <rPr>
        <i/>
        <u/>
        <sz val="10"/>
        <color theme="1"/>
        <rFont val="Montserrat"/>
      </rPr>
      <t>Aux</t>
    </r>
    <r>
      <rPr>
        <sz val="10"/>
        <color theme="1"/>
        <rFont val="Montserrat"/>
      </rPr>
      <t>, ya que  en esta hoja se encuentra la mayor parte de la información necesaria para el funcionamiento de la bitácora.</t>
    </r>
  </si>
  <si>
    <t>Instrucciones:</t>
  </si>
  <si>
    <t>Antes de comenzar a registrar los datos, se debe dar click en el botón "Limpiar campos". Después, se debe dar click en el botón" Actualiza prestadores". Se abrirá una ventana donde debe seleccionar el Archivo llamado "Padrón prestadores", en la ruta correspondiente. Ya actualizada la lista de prestadores, comienzan a llenar los datos de Registro del asunto, si se desea agregar una institución nueva, se sigue el procedimiento del botón "Actualiza prestadores", esto con el fin de que se mantenga actualizado el padrón de prestadores y servicios.
Después los Datos del prestador, si se desea agregar un nuevo prestador o servicio, se sigue el procedimiento del botón "Actualiza prestadores", esto con el fin de que se mantenga actualizado el padrón de prestadores y servicios y al final se selecciona el tipo de servicio que se realiza.</t>
  </si>
  <si>
    <t>2. Una vez llenados los campos correctamente, se da click en el botón continuar.</t>
  </si>
  <si>
    <t>3. En algunas hojas existe un botón Referencia, el cual manda a una hoja donde se encuentran algunos artículos citados que no se encuentran en la CUB. Para la referencia del Anexo 52, se debe hacer click en la celda en la que se menciona para que dirija a una ventana externa donde se puede leer completo.</t>
  </si>
  <si>
    <r>
      <t xml:space="preserve">4. Cuando la opición de subcontratación esté seleccionada y el servicio corresponda a alguno de los mencionados en el artículo 46 de la LIC, se deberá llenar el formulario correspondiente que se desplega cuando se hace click en el botón </t>
    </r>
    <r>
      <rPr>
        <i/>
        <u/>
        <sz val="10"/>
        <color theme="1"/>
        <rFont val="Montserrat"/>
      </rPr>
      <t>Subcontratado, cuando se llena correctamente, se completa el requerimiento correspondiente de forma automática.</t>
    </r>
  </si>
  <si>
    <r>
      <t xml:space="preserve">5. Cuando se termine de llenar la bitácora, se encontrará en la hoja </t>
    </r>
    <r>
      <rPr>
        <i/>
        <u/>
        <sz val="10"/>
        <color theme="1"/>
        <rFont val="Montserrat"/>
      </rPr>
      <t>Datos</t>
    </r>
    <r>
      <rPr>
        <sz val="10"/>
        <color theme="1"/>
        <rFont val="Montserrat"/>
      </rPr>
      <t>, en ella tendrá que copiar el rango B5:Q5 y pegarlo en el rango B3:Q3 del libro Concentrado, donde se irán guardando todos los registros generados de esta bitácora. Después de pegarlo, en el libro Concentrado se encuentra un botón Agregar registro, para que lo vaya agregando a la base de datos.</t>
    </r>
  </si>
  <si>
    <t>6. Debajo del botón Instrucivo hay un botón que sirve para actulizar la página de inicio. El uso de este botón es para cuando la página no se visualiza correctamente.</t>
  </si>
  <si>
    <t>Sección 1. Cumplimiento regulatorio Capítulo XI de la CUB</t>
  </si>
  <si>
    <t>Lineamientos</t>
  </si>
  <si>
    <t>Requerimientos</t>
  </si>
  <si>
    <t>Calidad de la información</t>
  </si>
  <si>
    <t>Nombre de documento</t>
  </si>
  <si>
    <t>Número de página</t>
  </si>
  <si>
    <t>Referencia / numeral</t>
  </si>
  <si>
    <t>Descripción o Comentarios</t>
  </si>
  <si>
    <t>Observaciones para Oficio</t>
  </si>
  <si>
    <t>Sección Tercera</t>
  </si>
  <si>
    <t>Art 328</t>
  </si>
  <si>
    <t>Parrafo primero</t>
  </si>
  <si>
    <r>
      <t>Las Instituciones</t>
    </r>
    <r>
      <rPr>
        <sz val="10"/>
        <color rgb="FFFF0000"/>
        <rFont val="Montserrat"/>
      </rPr>
      <t xml:space="preserve"> requerirán de la autorización de la Comisión</t>
    </r>
    <r>
      <rPr>
        <sz val="10"/>
        <color theme="1"/>
        <rFont val="Montserrat"/>
      </rPr>
      <t>, para la contratación con terceros de la prestación de servicios o comisiones, para la realización de un proceso operativo o para la administración de bases de datos, que se proporcionen o ejecuten parcial o totalmente fuera de territorio nacional o por residentes en el extranjero, en todo momento, con independencia de que los procesos de que se trate puedan o no afectar cualitativa o cuantitativamente una o más de las operaciones que realice la Institución.</t>
    </r>
  </si>
  <si>
    <t>Parrafo segundo</t>
  </si>
  <si>
    <r>
      <t xml:space="preserve">Las Instituciones deberán solicitar </t>
    </r>
    <r>
      <rPr>
        <sz val="10"/>
        <color rgb="FFFF0000"/>
        <rFont val="Montserrat"/>
      </rPr>
      <t xml:space="preserve">la autorización de que se trata a la vicepresidencia de la Comisión encargada de su supervisión, con cuando menos veinte días hábiles de anticipación a la fecha en que pretendan contratar los servicios </t>
    </r>
    <r>
      <rPr>
        <sz val="10"/>
        <color theme="1"/>
        <rFont val="Montserrat"/>
      </rPr>
      <t>o la comisión que corresponda, acompañando para tal efecto la documentación que acredite el cumplimiento de los requisitos señalados en el Artículo 318 de las presentes disposiciones, y los siguientes:</t>
    </r>
  </si>
  <si>
    <t>Fracción I</t>
  </si>
  <si>
    <r>
      <rPr>
        <sz val="10"/>
        <color rgb="FFFF0000"/>
        <rFont val="Montserrat"/>
      </rPr>
      <t>Que los terceros o comisionistas con los que se contrate residan en países cuyo derecho interno proporcione protección a los datos de las personas</t>
    </r>
    <r>
      <rPr>
        <sz val="10"/>
        <color theme="1"/>
        <rFont val="Montserrat"/>
      </rPr>
      <t>, resguardando su debida confidencialidad, o bien, los países de residencia mantengan suscritos con México acuerdos internacionales en dicha materia</t>
    </r>
    <r>
      <rPr>
        <sz val="10"/>
        <color rgb="FFFF0000"/>
        <rFont val="Montserrat"/>
      </rPr>
      <t xml:space="preserve"> o de intercambio de información entre los organismos supervisores</t>
    </r>
    <r>
      <rPr>
        <sz val="10"/>
        <color theme="1"/>
        <rFont val="Montserrat"/>
      </rPr>
      <t>, tratándose de entidades financieras</t>
    </r>
  </si>
  <si>
    <t>Fracción II</t>
  </si>
  <si>
    <r>
      <rPr>
        <sz val="10"/>
        <color rgb="FFFF0000"/>
        <rFont val="Montserrat"/>
      </rPr>
      <t>Que las Instituciones manifiesten a la Comisión que mantendrán en sus oficinas principales ubicadas en los Estados Unidos Mexicanos</t>
    </r>
    <r>
      <rPr>
        <sz val="10"/>
        <color theme="1"/>
        <rFont val="Montserrat"/>
      </rPr>
      <t xml:space="preserve">, al menos la documentación e información relativa a las evaluaciones, resultados de auditorías y reportes de desempeño. Asimismo, cuando la Comisión lo requiera deberán proporcionar </t>
    </r>
    <r>
      <rPr>
        <sz val="10"/>
        <color rgb="FFFF0000"/>
        <rFont val="Montserrat"/>
      </rPr>
      <t>tal documentación en idioma español</t>
    </r>
  </si>
  <si>
    <t>Fracción III, párrafo primero</t>
  </si>
  <si>
    <r>
      <rPr>
        <sz val="10"/>
        <color rgb="FFFF0000"/>
        <rFont val="Montserrat"/>
      </rPr>
      <t>Que se cuente con la aprobación del Consejo o, en su caso, del Comité de Auditoría</t>
    </r>
    <r>
      <rPr>
        <sz val="10"/>
        <color theme="1"/>
        <rFont val="Montserrat"/>
      </rPr>
      <t xml:space="preserve"> o del comité de riesgos, </t>
    </r>
    <r>
      <rPr>
        <sz val="10"/>
        <color rgb="FFFF0000"/>
        <rFont val="Montserrat"/>
      </rPr>
      <t>haciendo constar</t>
    </r>
    <r>
      <rPr>
        <sz val="10"/>
        <color theme="1"/>
        <rFont val="Montserrat"/>
      </rPr>
      <t xml:space="preserve"> en el acuerdo respectivo los aspectos siguientes:</t>
    </r>
  </si>
  <si>
    <t>Fracción III, inciso a)</t>
  </si>
  <si>
    <r>
      <t xml:space="preserve"> 
Que al contratar los servicios o comisiones </t>
    </r>
    <r>
      <rPr>
        <sz val="10"/>
        <color rgb="FFFF0000"/>
        <rFont val="Montserrat"/>
      </rPr>
      <t xml:space="preserve">no se pone en riesgo el adecuado cumplimiento de las disposiciones aplicables a la Institución. </t>
    </r>
    <r>
      <rPr>
        <sz val="10"/>
        <color theme="1"/>
        <rFont val="Montserrat"/>
      </rPr>
      <t xml:space="preserve">
</t>
    </r>
  </si>
  <si>
    <t>Fracción III, inciso b)</t>
  </si>
  <si>
    <r>
      <rPr>
        <sz val="10"/>
        <color rgb="FFFF0000"/>
        <rFont val="Montserrat"/>
      </rPr>
      <t xml:space="preserve">Que las prácticas de negocio del tercero o comisionista son consistentes </t>
    </r>
    <r>
      <rPr>
        <sz val="10"/>
        <color theme="1"/>
        <rFont val="Montserrat"/>
      </rPr>
      <t xml:space="preserve">con las de operación de la Institución. </t>
    </r>
  </si>
  <si>
    <t>Fracción III, inciso c)</t>
  </si>
  <si>
    <r>
      <rPr>
        <sz val="10"/>
        <color rgb="FFFF0000"/>
        <rFont val="Montserrat"/>
      </rPr>
      <t>Que no habría impacto en la estabilidad financiera o continuidad operativa de la Institución</t>
    </r>
    <r>
      <rPr>
        <sz val="10"/>
        <color theme="1"/>
        <rFont val="Montserrat"/>
      </rPr>
      <t xml:space="preserve">, con motivo de la distancia geográfica y, en su caso, del lenguaje que se utilizará en la prestación del servicio. </t>
    </r>
  </si>
  <si>
    <t>Fracción III, inciso d)</t>
  </si>
  <si>
    <r>
      <rPr>
        <sz val="10"/>
        <color rgb="FFFF0000"/>
        <rFont val="Montserrat"/>
      </rPr>
      <t>Las medidas que implementarán</t>
    </r>
    <r>
      <rPr>
        <sz val="10"/>
        <color theme="1"/>
        <rFont val="Montserrat"/>
      </rPr>
      <t xml:space="preserve"> en los supuestos previstos por la fracción VII del Artículo 318 de las presentes disposiciones.</t>
    </r>
  </si>
  <si>
    <t>Párrafo tercero</t>
  </si>
  <si>
    <r>
      <t>Para la solicitud de autorización para la contratación de los servicios o comisiones a que se refiere el presente artículo, resultará aplicable lo dispuesto por los Artículos 326, penúltimo y último párrafos y 327 anteriores. Asimismo, la Comisión tendrá la facultad de requerirle a la Institución el proyecto del contrato y, en su caso</t>
    </r>
    <r>
      <rPr>
        <sz val="10"/>
        <color rgb="FFFF0000"/>
        <rFont val="Montserrat"/>
      </rPr>
      <t>, el contrato celebrado, con su traducción al idioma español.</t>
    </r>
  </si>
  <si>
    <t>Art 327</t>
  </si>
  <si>
    <t>Primer párrafo</t>
  </si>
  <si>
    <r>
      <t xml:space="preserve">El aviso a que se refiere el Artículo 326 anterior, </t>
    </r>
    <r>
      <rPr>
        <sz val="10"/>
        <color rgb="FFFF0000"/>
        <rFont val="Montserrat"/>
      </rPr>
      <t xml:space="preserve">deberá ser suscrito por el director general de la Institución </t>
    </r>
    <r>
      <rPr>
        <sz val="10"/>
        <color theme="1"/>
        <rFont val="Montserrat"/>
      </rPr>
      <t>y reunir los requisitos siguientes</t>
    </r>
  </si>
  <si>
    <t>Fracción I, párrafo segundo</t>
  </si>
  <si>
    <r>
      <t xml:space="preserve">En caso de que los servicios o comisiones a contratar se refieran a la utilización de infraestructura tecnológica o de telecomunicaciones, </t>
    </r>
    <r>
      <rPr>
        <sz val="10"/>
        <color rgb="FFFF0000"/>
        <rFont val="Montserrat"/>
      </rPr>
      <t>el aviso deberá contener adicionalmente un informe técnico que especifique el tipo de operaciones o servicios bancarios que habrán de celebrarse utilizando la base tecnológica</t>
    </r>
    <r>
      <rPr>
        <sz val="10"/>
        <rFont val="Montserrat"/>
      </rPr>
      <t xml:space="preserve"> que le sea proveída por terceros o comisionistas, </t>
    </r>
    <r>
      <rPr>
        <sz val="10"/>
        <color rgb="FFFF0000"/>
        <rFont val="Montserrat"/>
      </rPr>
      <t>así como la forma en que se dará cumplimiento a los lineamientos mínimos de operación y seguridad</t>
    </r>
    <r>
      <rPr>
        <sz val="10"/>
        <rFont val="Montserrat"/>
      </rPr>
      <t xml:space="preserve">, que se señalan en el </t>
    </r>
    <r>
      <rPr>
        <u/>
        <sz val="10"/>
        <color rgb="FF0070C0"/>
        <rFont val="Montserrat"/>
      </rPr>
      <t>Anexo 52</t>
    </r>
    <r>
      <rPr>
        <sz val="10"/>
        <rFont val="Montserrat"/>
      </rPr>
      <t xml:space="preserve"> de las presentes disposiciones.</t>
    </r>
  </si>
  <si>
    <r>
      <t>Acompañar</t>
    </r>
    <r>
      <rPr>
        <sz val="10"/>
        <color rgb="FFFF0000"/>
        <rFont val="Montserrat"/>
      </rPr>
      <t xml:space="preserve"> el proyecto de contrato de prestación de servicios o comisión, señalando la fecha probable de su celebración.</t>
    </r>
  </si>
  <si>
    <t>Sección Primera</t>
  </si>
  <si>
    <t>Art 318</t>
  </si>
  <si>
    <t>Párrafo primero</t>
  </si>
  <si>
    <t>Las Instituciones, con las excepciones previstas en las fracciones I a XVII del Artículo 317 de las presentes disposiciones, para contratar cualquiera de los servicios o al celebrar las comisiones mercantiles a que se refiere el presente Capítulo XI, deberán cumplir con los requisitos siguientes:</t>
  </si>
  <si>
    <t>Fracción I, párrafo primero</t>
  </si>
  <si>
    <r>
      <t xml:space="preserve">Tratándose de actividades que impliquen actuar frente al público en general, en todo momento, </t>
    </r>
    <r>
      <rPr>
        <sz val="10"/>
        <color rgb="FFFF0000"/>
        <rFont val="Montserrat"/>
      </rPr>
      <t>los terceros que las Instituciones contraten deberán actuar a nombre y por cuenta de la Institución comitente,</t>
    </r>
    <r>
      <rPr>
        <sz val="10"/>
        <color theme="1"/>
        <rFont val="Montserrat"/>
      </rPr>
      <t xml:space="preserve"> por lo que la citada relación deberá documentarse mediante contratos de comisión mercantil</t>
    </r>
  </si>
  <si>
    <t xml:space="preserve">Prever en el contrato de prestación de servicios o comisión respectivo, la aceptación incondicional del comisionista o del tercero que proporcione el servicio, para: </t>
  </si>
  <si>
    <t>Fracción III, inciso a), 1.</t>
  </si>
  <si>
    <r>
      <t xml:space="preserve">De manera expresa: 
</t>
    </r>
    <r>
      <rPr>
        <sz val="10"/>
        <color rgb="FFFF0000"/>
        <rFont val="Montserrat"/>
      </rPr>
      <t>Recibir visitas domiciliarias por parte del auditor externo de la Institución, de la Comisión o de los terceros que la propia Comisión designe</t>
    </r>
    <r>
      <rPr>
        <sz val="10"/>
        <color theme="1"/>
        <rFont val="Montserrat"/>
      </rPr>
      <t xml:space="preserve"> en términos de lo dispuesto por el Artículo 46 Bis 1 y el Artículo 117 de la Ley, a efecto de llevar a cabo la supervisión correspondiente, con el propósito de obtener información para constatar que los servicios o comisiones contratados por la Institución, le permiten a esta última cumplir con las disposiciones aplicables. Para que se realicen las visitas referidas, las Instituciones podrán designar un representante. </t>
    </r>
  </si>
  <si>
    <t>Fracción III, inciso a), 2.</t>
  </si>
  <si>
    <r>
      <rPr>
        <sz val="10"/>
        <color rgb="FFFF0000"/>
        <rFont val="Montserrat"/>
      </rPr>
      <t xml:space="preserve">Aceptar la realización de auditorías por parte de la Institución, </t>
    </r>
    <r>
      <rPr>
        <sz val="10"/>
        <color theme="1"/>
        <rFont val="Montserrat"/>
      </rPr>
      <t xml:space="preserve">en relación con los servicios o comisiones objeto de dicho contrato, a fin de verificar la observancia de las disposiciones aplicables a las Instituciones. </t>
    </r>
  </si>
  <si>
    <t>Fracción III, inciso a), 3.</t>
  </si>
  <si>
    <r>
      <rPr>
        <sz val="10"/>
        <color rgb="FFFF0000"/>
        <rFont val="Montserrat"/>
      </rPr>
      <t>Entregar, a solicitud de la Institución, al auditor externo de la propia Institución y a la Comisión o al tercero que dicha Comisión designe</t>
    </r>
    <r>
      <rPr>
        <sz val="10"/>
        <color theme="1"/>
        <rFont val="Montserrat"/>
      </rPr>
      <t xml:space="preserve">, libros, sistemas, registros, manuales y documentos en general, relacionados con la prestación del servicio o comisión de que se trate. Asimismo, permitir el acceso al personal responsable y a sus oficinas e instalaciones en general, relacionados con la prestación del servicio en cuestión. </t>
    </r>
  </si>
  <si>
    <t>Fracción III, inciso a), 4.</t>
  </si>
  <si>
    <r>
      <rPr>
        <sz val="10"/>
        <color rgb="FFFF0000"/>
        <rFont val="Montserrat"/>
      </rPr>
      <t>Informar a la Institución con por lo menos treinta días naturales de anticipación</t>
    </r>
    <r>
      <rPr>
        <sz val="10"/>
        <color theme="1"/>
        <rFont val="Montserrat"/>
      </rPr>
      <t xml:space="preserve">, respecto de cualquier reforma a su objeto social o en su organización interna que afecte la prestación del servicio o comisión objeto de la contratación. </t>
    </r>
  </si>
  <si>
    <t>Fracción III, inciso a), 5.</t>
  </si>
  <si>
    <r>
      <rPr>
        <sz val="10"/>
        <color rgb="FFFF0000"/>
        <rFont val="Montserrat"/>
      </rPr>
      <t>Guardar confidencialidad respecto de la información a la que se tenga acceso por la prestación del servicio o comisión</t>
    </r>
    <r>
      <rPr>
        <sz val="10"/>
        <color theme="1"/>
        <rFont val="Montserrat"/>
      </rPr>
      <t>, debiendo, además, establecer las medidas necesarias para mantener la seguridad de las operaciones y proteger la información de los clientes, manifestando entender y aceptar que, por virtud de lo señalado en el Artículo 46 Bis 1, párrafo tercero de la Ley, lo dispuesto en el Artículo 142 de dicha Ley también les será aplicable, así como a sus representantes, directivos y empleados, aun cuando dejen de laborar o prestar servicios a tales prestadores de servicios o comisionistas.</t>
    </r>
  </si>
  <si>
    <t>Fracción III, inciso a) párrafo segundo</t>
  </si>
  <si>
    <r>
      <t xml:space="preserve">Lo previsto en los subincisos 1. a 5. anteriores también resultará aplicable a los terceros con los que los prestadores de servicios a que se refiere el presente capítulo subcontraten directamente, total o parcialmente, el servicio prestado a la Institución.
</t>
    </r>
    <r>
      <rPr>
        <sz val="10"/>
        <color rgb="FFFF0000"/>
        <rFont val="Montserrat"/>
      </rPr>
      <t>Ver nota a la derecha</t>
    </r>
  </si>
  <si>
    <t>N/A</t>
  </si>
  <si>
    <t>Párrafo segundo</t>
  </si>
  <si>
    <r>
      <t>Las Instituciones que tengan el carácter de filiales podrán contratar servicios con la institución financiera del exterior que las controle, o bien, con las subsidiarias o empresas relacionadas a esta última, cuando dichas contrataciones tengan por objeto la realización de los procesos a que se refiere la Sección Tercera del presente Capítulo XI de este Título Quinto de estas disposiciones. En este supuesto, las Instituciones filiales no se sujetarán a lo dispuesto en las fracciones II, III en su inciso b), IV a VII, anteriores, siempre que la Institución filial de que se trate</t>
    </r>
    <r>
      <rPr>
        <sz val="10"/>
        <color rgb="FFFF0000"/>
        <rFont val="Montserrat"/>
      </rPr>
      <t xml:space="preserve"> manifieste que se ajusta a las políticas y lineamientos</t>
    </r>
    <r>
      <rPr>
        <b/>
        <sz val="10"/>
        <color rgb="FFFF0000"/>
        <rFont val="Montserrat"/>
      </rPr>
      <t xml:space="preserve"> (Verificar que se cumplan las fracciones del Artículo 334 de la CUB)</t>
    </r>
    <r>
      <rPr>
        <sz val="10"/>
        <color rgb="FFFF0000"/>
        <rFont val="Montserrat"/>
      </rPr>
      <t>que al respecto tenga establecida la referida institución financiera del exterior;</t>
    </r>
    <r>
      <rPr>
        <sz val="10"/>
        <color theme="1"/>
        <rFont val="Montserrat"/>
      </rPr>
      <t xml:space="preserve"> se cercioró que tales políticas y lineamientos prevén los aspectos a que el presente artículo se refiere, y tiene acceso a las evaluaciones y resultados de las auditorías que realice la citada institución financiera del exterior. Igual supuesto resultará aplicable para el caso de servicios que un tercero provea tanto a la institución financiera del exterior como a la filial.</t>
    </r>
  </si>
  <si>
    <t>Párrafo cuarto</t>
  </si>
  <si>
    <r>
      <rPr>
        <sz val="10"/>
        <color rgb="FFFF0000"/>
        <rFont val="Montserrat"/>
      </rPr>
      <t>La Institución deberá establecer las políticas para el adecuado manejo, control y seguridad de la información generada, recibida, transmitida, procesada o almacenada</t>
    </r>
    <r>
      <rPr>
        <sz val="10"/>
        <color theme="1"/>
        <rFont val="Montserrat"/>
      </rPr>
      <t xml:space="preserve"> en la ejecución de los servicios o comisiones que se refieran a la utilización de infraestructura tecnológica, de telecomunicaciones o de procesamiento de información, que se realicen parcial o totalmente fuera del territorio nacional. </t>
    </r>
    <r>
      <rPr>
        <sz val="10"/>
        <color rgb="FFFF0000"/>
        <rFont val="Montserrat"/>
      </rPr>
      <t>El establecimiento de dichas políticas será responsabilidad del director general,</t>
    </r>
    <r>
      <rPr>
        <sz val="10"/>
        <color theme="1"/>
        <rFont val="Montserrat"/>
      </rPr>
      <t xml:space="preserve"> quien podrá delegar tales funciones a las áreas encargadas de la seguridad de la información de la Institución, mientras que el Comité de Auditoría y el auditor interno de la Institución serán responsables de vigilar su cumplimiento, de acuerdo con sus respectivas competencias.</t>
    </r>
  </si>
  <si>
    <r>
      <t xml:space="preserve">En caso de que los servicios o comisiones a contratar se refieran a la utilización de infraestructura tecnológica o de telecomunicaciones, </t>
    </r>
    <r>
      <rPr>
        <sz val="10"/>
        <color rgb="FFFF0000"/>
        <rFont val="Montserrat"/>
      </rPr>
      <t>el aviso deberá contener adicionalmente un informe técnico que especifique el tipo de operaciones o servicios bancarios que habrán de celebrarse utilizando la base tecnológica</t>
    </r>
    <r>
      <rPr>
        <sz val="10"/>
        <rFont val="Montserrat"/>
      </rPr>
      <t xml:space="preserve"> que le sea proveída por terceros o comisionistas, así como </t>
    </r>
    <r>
      <rPr>
        <sz val="10"/>
        <color rgb="FFFF0000"/>
        <rFont val="Montserrat"/>
      </rPr>
      <t>la forma en que se dará cumplimiento a los lineamientos mínimos de operación y seguridad</t>
    </r>
    <r>
      <rPr>
        <sz val="10"/>
        <rFont val="Montserrat"/>
      </rPr>
      <t xml:space="preserve">, que se señalan en el </t>
    </r>
    <r>
      <rPr>
        <u/>
        <sz val="10"/>
        <color rgb="FF0070C0"/>
        <rFont val="Montserrat"/>
      </rPr>
      <t>Anexo 52</t>
    </r>
    <r>
      <rPr>
        <sz val="10"/>
        <rFont val="Montserrat"/>
      </rPr>
      <t xml:space="preserve"> de las presentes disposiciones.</t>
    </r>
  </si>
  <si>
    <t>Fracción I, párrafo tercero</t>
  </si>
  <si>
    <r>
      <t>Asimismo, las Instituciones deberán señalar</t>
    </r>
    <r>
      <rPr>
        <sz val="10"/>
        <color rgb="FFFF0000"/>
        <rFont val="Montserrat"/>
      </rPr>
      <t xml:space="preserve"> las medidas que implementarán en los supuestos previstos por la fracción VI</t>
    </r>
    <r>
      <rPr>
        <sz val="10"/>
        <color theme="1"/>
        <rFont val="Montserrat"/>
      </rPr>
      <t>I del Artículo 318 de las presentes disposiciones</t>
    </r>
  </si>
  <si>
    <t>Fracción II, párrafo primero</t>
  </si>
  <si>
    <r>
      <rPr>
        <sz val="10"/>
        <color rgb="FFFF0000"/>
        <rFont val="Montserrat"/>
      </rPr>
      <t>Contar con un informe que especifique los procesos operativos o de administración de bases de datos y sistemas informáticos de la Institución que sean objeto de los servicios a contratar, así como las políticas y criterios para seleccionar al tercero,</t>
    </r>
    <r>
      <rPr>
        <sz val="10"/>
        <color theme="1"/>
        <rFont val="Montserrat"/>
      </rPr>
      <t xml:space="preserve"> los cuales estarán orientados a evaluar la experiencia, capacidad técnica y recursos humanos del tercero con quien se contrate para prestar el servicio con niveles adecuados de desempeño, confiabilidad y seguridad, así como los efectos que pudieran producirse en una o más operaciones que realice la Institución</t>
    </r>
  </si>
  <si>
    <t>Fraccion II párrafo segundo</t>
  </si>
  <si>
    <r>
      <rPr>
        <sz val="10"/>
        <color rgb="FFFF0000"/>
        <rFont val="Montserrat"/>
      </rPr>
      <t>Las políticas y criterios a que se refiere el párrafo anterior deberán elaborarse por el director general u otro funcionario que este designe y ser aprobadas por el Consejo de Administración de la Institución</t>
    </r>
    <r>
      <rPr>
        <sz val="10"/>
        <color theme="1"/>
        <rFont val="Montserrat"/>
      </rPr>
      <t>, a propuesta del Comité de Riesgos o del Comité de Auditoría.</t>
    </r>
  </si>
  <si>
    <r>
      <t xml:space="preserve">Lo previsto en los subincisos 1. a 5. anteriores </t>
    </r>
    <r>
      <rPr>
        <sz val="10"/>
        <color rgb="FFFF0000"/>
        <rFont val="Montserrat"/>
      </rPr>
      <t>también resultará aplicable a los terceros con los que los prestadores de servicios</t>
    </r>
    <r>
      <rPr>
        <sz val="10"/>
        <color theme="1"/>
        <rFont val="Montserrat"/>
      </rPr>
      <t xml:space="preserve"> a que se refiere el presente capítulo subcontraten directamente, total o parcialmente, el servicio prestado a la Institución.</t>
    </r>
  </si>
  <si>
    <t>Fracción III, inciso b), 1.</t>
  </si>
  <si>
    <r>
      <t xml:space="preserve">En adición al inciso anterior, el contrato de prestación de servicios o comisión respectivo deberá prever lo siguiente: 
</t>
    </r>
    <r>
      <rPr>
        <sz val="10"/>
        <color rgb="FFFF0000"/>
        <rFont val="Montserrat"/>
      </rPr>
      <t>Las restricciones o condiciones respecto a la posibilidad de que el tercero subcontrate</t>
    </r>
    <r>
      <rPr>
        <sz val="10"/>
        <color theme="1"/>
        <rFont val="Montserrat"/>
      </rPr>
      <t xml:space="preserve">, a su vez, la prestación del servicio. </t>
    </r>
  </si>
  <si>
    <t>Fracción III, inciso b), 2.</t>
  </si>
  <si>
    <t xml:space="preserve">Las obligaciones que correspondan a la Institución y al tercero prestador del servicio o comisionista, así como los procedimientos para vigilar el cumplimiento de dichas obligaciones. </t>
  </si>
  <si>
    <t>Fracción III, inciso b), 3.</t>
  </si>
  <si>
    <r>
      <rPr>
        <sz val="10"/>
        <color rgb="FFFF0000"/>
        <rFont val="Montserrat"/>
      </rPr>
      <t xml:space="preserve">Los mecanismos para la solución de disputas relativas al contrato de prestación de servicios </t>
    </r>
    <r>
      <rPr>
        <sz val="10"/>
        <color theme="1"/>
        <rFont val="Montserrat"/>
      </rPr>
      <t xml:space="preserve">o comisión mercantil. </t>
    </r>
  </si>
  <si>
    <t>Fracción III, inciso b), 4.</t>
  </si>
  <si>
    <r>
      <rPr>
        <sz val="10"/>
        <color rgb="FFFF0000"/>
        <rFont val="Montserrat"/>
      </rPr>
      <t>Las obligaciones y responsabilidades de las partes para proteger la información de los clientes de la Institución,</t>
    </r>
    <r>
      <rPr>
        <sz val="10"/>
        <color theme="1"/>
        <rFont val="Montserrat"/>
      </rPr>
      <t xml:space="preserve"> debiendo esta última considerar los requisitos que establece la legislación en materia de protección de datos personales para el tratamiento y transferencia de este tipo de datos, además de aquella relativa a la defensa de usuarios de servicios financieros y cualquier otra que tenga por objeto proteger los datos de los clientes de la Institución. </t>
    </r>
  </si>
  <si>
    <t>Fracción III, inciso b), 5.</t>
  </si>
  <si>
    <r>
      <rPr>
        <sz val="10"/>
        <color rgb="FFFF0000"/>
        <rFont val="Montserrat"/>
      </rPr>
      <t>La manifestación expresa de que la Institución responde, en todo momento, por el servicio que terceros contratados por ella</t>
    </r>
    <r>
      <rPr>
        <sz val="10"/>
        <color theme="1"/>
        <rFont val="Montserrat"/>
      </rPr>
      <t xml:space="preserve">, o sus comisionistas, proporcionen a los clientes bancarios, aun cuando la realización de las operaciones correspondientes se lleve a cabo en términos distintos a los pactados; así como por el incumplimiento a las disposiciones en que incurran dichos terceros o comisionistas, conforme a lo previsto en el Artículo 46 Bis 1, primer párrafo de la Ley. </t>
    </r>
  </si>
  <si>
    <t>Fracción III, inciso b), 6.</t>
  </si>
  <si>
    <t xml:space="preserve">Los términos, condiciones y procesos para que el comisionista o el prestador de servicios garantice a la Institución la transferencia, devolución y eliminación segura de la información sujeta al servicio contratado cuando deje de prestarlo. </t>
  </si>
  <si>
    <t>Fraccion III, inciso b), 7.</t>
  </si>
  <si>
    <r>
      <rPr>
        <sz val="10"/>
        <color rgb="FFFF0000"/>
        <rFont val="Montserrat"/>
      </rPr>
      <t>Establecer medidas correctivas en caso de incumplimiento por parte de los terceros</t>
    </r>
    <r>
      <rPr>
        <sz val="10"/>
        <color theme="1"/>
        <rFont val="Montserrat"/>
      </rPr>
      <t xml:space="preserve"> prestadores de servicios o comisionistas a las presentes disposiciones.</t>
    </r>
  </si>
  <si>
    <t>Fracción IV</t>
  </si>
  <si>
    <r>
      <rPr>
        <sz val="10"/>
        <color rgb="FFFF0000"/>
        <rFont val="Montserrat"/>
      </rPr>
      <t>Establecer lineamientos y mecanismos tendientes a la no afectación y adecuada prestación de los servicios de la Institución al público</t>
    </r>
    <r>
      <rPr>
        <sz val="10"/>
        <color theme="1"/>
        <rFont val="Montserrat"/>
      </rPr>
      <t>, su estabilidad financiera o continuidad operativa después de haber finalizado el contrato con el prestador de servicios o comisionista, considerando aquellos necesarios para verificar que este no conserve información alguna de la Institución o de sus clientes.</t>
    </r>
  </si>
  <si>
    <t>Fracción V</t>
  </si>
  <si>
    <r>
      <rPr>
        <sz val="10"/>
        <color rgb="FFFF0000"/>
        <rFont val="Montserrat"/>
      </rPr>
      <t xml:space="preserve">Dar cumplimiento a los lineamientos mínimos de operación y seguridad que se señalan en los Anexos 52 y 58 de las presentes disposiciones, </t>
    </r>
    <r>
      <rPr>
        <sz val="10"/>
        <color theme="1"/>
        <rFont val="Montserrat"/>
      </rPr>
      <t>según corresponda, para la operación de medios electrónicos con comisionistas o si los servicios a contratar se refieren a la utilización de infraestructura tecnológica o de telecomunicaciones.</t>
    </r>
  </si>
  <si>
    <t>Fracción VI</t>
  </si>
  <si>
    <r>
      <rPr>
        <sz val="10"/>
        <color rgb="FFFF0000"/>
        <rFont val="Montserrat"/>
      </rPr>
      <t>Verificar que los terceros, los accionistas de estos y, en su caso, subcontratados, así como los comisionistas y sus accionistas, en su caso, el Administrador de Comisionistas y los accionistas de estos últimos, no se encuentren dentro de las listas oficiales que emitan autoridades mexicanas, organismos internacionales, agrupaciones intergubernamentales o autoridades de otros países, de personas vinculadas o probablemente vinculadas con operaciones con recursos de procedencia ilícita, el terrorismo o su financiamiento, o con otras actividades ilegales.</t>
    </r>
    <r>
      <rPr>
        <sz val="10"/>
        <color theme="1"/>
        <rFont val="Montserrat"/>
      </rPr>
      <t xml:space="preserve"> Para acreditar lo anterior, bastará con que la Institución, manifieste por escrito que se aseguró de que las personas señaladas en esta fracción no estaban relacionadas en dichas listas oficiales al momento de su contratación. </t>
    </r>
    <r>
      <rPr>
        <sz val="10"/>
        <color rgb="FFFF0000"/>
        <rFont val="Montserrat"/>
      </rPr>
      <t>Adicionalmente, la Institución deberá manifestar que conoce el negocio al que se dedica el comisionista.</t>
    </r>
  </si>
  <si>
    <t>Fracción VII, párrafo primero</t>
  </si>
  <si>
    <r>
      <rPr>
        <sz val="10"/>
        <color rgb="FFFF0000"/>
        <rFont val="Montserrat"/>
      </rPr>
      <t>Contar con la previa aprobación del Consejo o del Comité de Riesgos de la Institución de la evaluación del impacto que las contrataciones</t>
    </r>
    <r>
      <rPr>
        <sz val="10"/>
        <color theme="1"/>
        <rFont val="Montserrat"/>
      </rPr>
      <t xml:space="preserve"> a que se refiere el presente Capitulo XI pudieran tener cualitativa o cuantitativamente en las operaciones que realice la Institución, conforme a su objeto, tomando en cuenta para ello, lo siguiente:  </t>
    </r>
  </si>
  <si>
    <t>Fracción VII, a)</t>
  </si>
  <si>
    <t xml:space="preserve">La capacidad de la Institución para, en caso de contingencia, mantener la continuidad operativa y la realización de operaciones y servicios con sus clientes. </t>
  </si>
  <si>
    <t>Fracción VII, b)</t>
  </si>
  <si>
    <t xml:space="preserve">La complejidad y tiempo requerido para encontrar un tercero que, en su caso, sustituya al originalmente contratado. </t>
  </si>
  <si>
    <t>Fracción VII, c)</t>
  </si>
  <si>
    <t xml:space="preserve">La habilidad de la Institución para mantener controles internos apropiados y oportunidad en el registro contable, así como para cumplir con los requerimientos regulatorios en caso de suspensión del servicio por parte del tercero o comisionista. </t>
  </si>
  <si>
    <t>Fracción VII, d)</t>
  </si>
  <si>
    <t xml:space="preserve">El impacto que la suspensión del servicio tendría en las finanzas, reputación y operaciones de la Institución. </t>
  </si>
  <si>
    <t>Fracción VII, e)</t>
  </si>
  <si>
    <t>La vulnerabilidad de la información relativa a los clientes.</t>
  </si>
  <si>
    <r>
      <rPr>
        <sz val="10"/>
        <color rgb="FFFF0000"/>
        <rFont val="Montserrat"/>
      </rPr>
      <t>La Institución deberá establecer las políticas para el adecuado manejo, control y seguridad de la información generada, recibida, transmitida, procesada o almacenada en la ejecución de los servicios o comisiones que se refieran a la utilización de infraestructura tecnológic</t>
    </r>
    <r>
      <rPr>
        <sz val="10"/>
        <color theme="1"/>
        <rFont val="Montserrat"/>
      </rPr>
      <t>a, de telecomunicaciones o de procesamiento de información, que se realicen parcial o totalmente fuera del territorio nacional.</t>
    </r>
    <r>
      <rPr>
        <sz val="10"/>
        <color rgb="FFFF0000"/>
        <rFont val="Montserrat"/>
      </rPr>
      <t xml:space="preserve"> El establecimiento de dichas políticas será responsabilidad del director general</t>
    </r>
    <r>
      <rPr>
        <sz val="10"/>
        <color theme="1"/>
        <rFont val="Montserrat"/>
      </rPr>
      <t>, quien podrá delegar tales funciones a las áreas encargadas de la seguridad de la información de la Institución, mientras que el Comité de Auditoría y el auditor interno de la Institución serán responsables de vigilar su cumplimiento, de acuerdo con sus respectivas competencias.</t>
    </r>
  </si>
  <si>
    <t>Lista de prestadores de S.N.</t>
  </si>
  <si>
    <t>Lista de prestadores S.E.</t>
  </si>
  <si>
    <t>Lista de instituciones</t>
  </si>
  <si>
    <t>Lista de servicios</t>
  </si>
  <si>
    <t>Coltomex, S.A. de C.V.</t>
  </si>
  <si>
    <t>Citibank, N.A.</t>
  </si>
  <si>
    <t>Banamex</t>
  </si>
  <si>
    <t>SERVICIO 1: generación, impresión y ensobretado de estados de cuenta dinámicos.
SERVICIO 2: “Proceso de Firma Digital y Estampado” y “Archiving and Reporting by Coltomex System”.</t>
  </si>
  <si>
    <t>Hispanic Teleservices de Guadalajara, S.A. de C.V. (HTG)</t>
  </si>
  <si>
    <t>CA. Inc.</t>
  </si>
  <si>
    <t>Tarjetas Banamex</t>
  </si>
  <si>
    <t>SERVICIO: Infonavit consisten en la administración y cobranza de créditos hipotecarios.</t>
  </si>
  <si>
    <t>Infocredit S. de R.L. de C.V. (“Infocredit”)</t>
  </si>
  <si>
    <t>Citibank N.A. (London Branch)</t>
  </si>
  <si>
    <t>SERVICIO TRANSFER: Servicios integrales de Atención Telefónica del Servicio de Pagos Móviles.</t>
  </si>
  <si>
    <t>Legalex GS, S.A. de C.V.</t>
  </si>
  <si>
    <t xml:space="preserve">Citigroup Technology , Inc. (“CTI”) </t>
  </si>
  <si>
    <t>SERVICIO: Atención a Clientes, Call-center tradicional.</t>
  </si>
  <si>
    <t>Merkafon de México, S.A. de C.V. (HTG)</t>
  </si>
  <si>
    <t>Citigroup Global Markets Operations &amp; Technology LLC (CGMO&amp;T)</t>
  </si>
  <si>
    <t>APLICATIVO: Operaciones de comercio exterior en el sistema TRIMS.</t>
  </si>
  <si>
    <t>Microformas, S.A. de C.V.</t>
  </si>
  <si>
    <t>Fair Isaac Corporation (FICO)</t>
  </si>
  <si>
    <t>SERVICIO: Procesamiento de cartas de crédito, cartas de crédito Stand by, y cobranzas documentarias, a través de TRIMS.</t>
  </si>
  <si>
    <t>Operadora Cibergestión, S.A. de C.V.</t>
  </si>
  <si>
    <t>Colrepfin Ltda</t>
  </si>
  <si>
    <t>SERVICIO: Procesamiento de transacciones y operaciones a través de  "Channel Finance Front End" y Online Payment Channel, de la plataforma CitiDirect Online Banking (TWCF).</t>
  </si>
  <si>
    <t>Instituto del Fondo Nacional de la Vivienda para los Trabajadores (INFONAVIT)</t>
  </si>
  <si>
    <t>Citigroup Global Markets, Inc. (CGM)</t>
  </si>
  <si>
    <t>SERVICIO: Migración, almacenamiento y mantenimiento de los ambientes tecnológicos, respecto a continuidad de negocio (COB), ambientes de desarrollo (DEV), pruebas de integración (SIT) y pruebas de aceptación (UAT).</t>
  </si>
  <si>
    <t>DocuSign, Inc.</t>
  </si>
  <si>
    <t>APLICATIVO Oasys Trade Capture utilizado en captura de operaciones y back office de negocio de derivados.</t>
  </si>
  <si>
    <t xml:space="preserve">Salesforce.com, Inc. (“Salesforce”) </t>
  </si>
  <si>
    <t>APLICATIVO CRI que incluye riesgo de crédito global, análisis, aprobación y sistemas de flujo de trabajo y procesos.</t>
  </si>
  <si>
    <t>Citibank N.A. United Kingdom (“Citi UK”)</t>
  </si>
  <si>
    <t>APLICATIVO CACLSWEB, administración de créditos, asociación de operaciones con línea de crédito, monitoreo del riesgo y de los límites de crédito.</t>
  </si>
  <si>
    <t>APLICATIVO OFSweb utilizado para aprobar las transacciones electrónicas y gestionar las excepciones de Crédito.</t>
  </si>
  <si>
    <t xml:space="preserve">APLICATIVO que da recepción de información transaccional de los sistemas operativos, genera estados de cuenta en formato SWIFT para REMS y en el formato de CitiDirect. </t>
  </si>
  <si>
    <t>APLICATIVO Simpliciti valoración de opciones de derivados y funcionalidad en Back y Middle Office.</t>
  </si>
  <si>
    <t>APLICATIVO Markitwire, antes Swapswire, uso de los traders en operaciones de Derivados.</t>
  </si>
  <si>
    <t>SERVICIO  dentro de la aplicación "Customer Relationship Managment" el cual automatizará el proceso de ventas outbound y procesos de interacción con el cliente.</t>
  </si>
  <si>
    <t>SERVICIO de la plataforma OpenLink/ENDUR NAM, sirve para registrar, generar, administrar y automatizar información para el control y soporte de posiciones, programación y consulta de operaciones de derivados de Commodities.</t>
  </si>
  <si>
    <t>Cálculo de comisiones de clientes de banca electrónica y cash management (GBS).</t>
  </si>
  <si>
    <t>SERVICIO:  Citi Multifactor Authentication Machine Tagging -CMAMT, detección de fraudes en Banca Electrónica.</t>
  </si>
  <si>
    <t>Uso de la aplicación EQRMS y a través de Oasys Mac registrar.</t>
  </si>
  <si>
    <t>Atención a Clientes de Banamex y Tarjetas Banamex.</t>
  </si>
  <si>
    <t>Acceso a la aplicación Integrated Risk and Reporting System (IRIS)</t>
  </si>
  <si>
    <t>Acceso y uso del sistema Assignation  Managment System (AMT).</t>
  </si>
  <si>
    <t>Procesamiento  a través de la aplicación denominada Quantum Local Markets (QLM), antes Quantum Fixed Income (QFI)</t>
  </si>
  <si>
    <t>Acceso y uso del sistema de eDealer- modulo Renta Fija, vía web con conexión segura a través de su intranet</t>
  </si>
  <si>
    <t>Uso de la herramienta FICO CCS-Adeptra.</t>
  </si>
  <si>
    <t>Uso de las aplicaciones CitiRisk Approvals Workflows,  CitiRisk Commercial, CitiRisk Document Managment (CDM),  Facility Management (FM), y CitiRisk Collateral Appraisal.</t>
  </si>
  <si>
    <t>Uso  de la plataforma Global Concentration Engine (GCE)</t>
  </si>
  <si>
    <t>Uso de la  plataforma denominada Citi Velocity.</t>
  </si>
  <si>
    <t>Uso del sistema denominado Global Credit Control System (GCCS).</t>
  </si>
  <si>
    <t>Operación de la banca electrónica, a través de la plataforma CitiDirect BE</t>
  </si>
  <si>
    <t>Administración y aprobación de Transacciones Episódicas mediante la aplicación BCMA Deal Management System_TRUE (DMS_TRUE).</t>
  </si>
  <si>
    <t>Uso de la herramienta denominada Orchestria</t>
  </si>
  <si>
    <t>Revisión periódica y el almacenamiento, a través del uso de la herramienta OneSource y monitoreo de Sanciones a través de sus herramientas CitiScreening y CSAW-C</t>
  </si>
  <si>
    <t>Uso de las aplicaciones Trader Workstation  (XOTIX)  y Multi Asset Risk System  (MARS)</t>
  </si>
  <si>
    <t>Uso de la aplicación denominada Trade Processing Services (TPS)</t>
  </si>
  <si>
    <t>Autenticación de tarjetahabientes de débito de Citibanamex y de crédito de Tarjetas SOFOM  por medio de la aplicación "CA Payment Security Suite", especificamente de sus componentes Transaction Manager (Transfort) y Risk Analytics (Riskfort) (ARCOT)</t>
  </si>
  <si>
    <t>"Finance Full Suite Operating Ledger" (FFS): Recepción, carga y procesamiento de registros contables, servicios relacionados, infraestructura tecnológica, soporte técnico, manenimiento y almacenamiento de información.</t>
  </si>
  <si>
    <t>Citi Supplier Finance / Accounts Receivables Discount Financing y TEIS ("CSF"): servicios a la operación de financiamiento de capital de trabajo; asimismo, CSF: almacenamiento de información, soporte técnico, mantenimiento e infraestructura tecnológica.</t>
  </si>
  <si>
    <t>Administración de disposición y pago del financiamiento otorgado a distribuidores de autos y camiones para adquisición de inventario.</t>
  </si>
  <si>
    <t>"Incode Omni": servicios de apertura remota de cuentas de captación a usuarios nuevos y/o para clientes. Asi como validación biométrica con el INE.</t>
  </si>
  <si>
    <t>Citi Valuations Direct (CVD): Procesamiento y envío de reportes de valuación de productos derivados.</t>
  </si>
  <si>
    <t>Summit Application 31750 (Summit): Captura, aprobación, modificación y cancelación de transacciones, contabilidad, liquidación de transacciones y generación de reportes de productos de derivados.</t>
  </si>
  <si>
    <t>Apertura de Cuentas a través de Gateway:   acceder a la apertura de cuentas vía internet.</t>
  </si>
  <si>
    <t>Securities Front End (“SFE”), “Securities Market Interface” (“SMI”),  Global Citi-Funds Transfer Program, (“CitiFT”) y “Securities Core System” (“SECORE”): Liquidación de Custodia de Valores y Tesorería, Funcionamiento; monitoreo, soporte y mantenimiento físico y tecnológico, almacenamiento de la información.</t>
  </si>
  <si>
    <t>Centro de Servicio Centralizado (CSC): procesamiento de transacciones de pagos instruidos por clientes y pagos internos.</t>
  </si>
  <si>
    <t>Ejecución de los procesos necesarios para la instrumentación y post firma de los créditos hipotecarios.</t>
  </si>
  <si>
    <t>Servicios Operativos de Custodia de Valores relacionados a las actividades de Custodia Global y Custodia Directa.</t>
  </si>
  <si>
    <t>DocuSign eSignature: uso de firma electrónica,  permitirá celebrar contratos e instrumentos legales; para servicio y confirmación de compra-venta de divisas a través de “CitiFX Pulse” e “InstantFX”.</t>
  </si>
  <si>
    <t>One Receivables: Portal de pago de Facturas y Mejoras al servicio de domiciliación.</t>
  </si>
  <si>
    <t>"Citi Tax Suite”: procesamiento integral de impuestos, almacenamiento de información fiscal y beneficiarios del negocio de Custodia de Valores.</t>
  </si>
  <si>
    <t>CitiKYC: Creación y perfilamiento de clientes y prospectos, revisiones periodicas y almacenamiento de información.</t>
  </si>
  <si>
    <t>Servicios Operativos con Pagos para el Negocio de Securities Services, actividades con Operaciones de Pagos Globales. Procesamiento de operaciones de efectivo/  pagos de los Clientes, así como soporte de sus cuentas.</t>
  </si>
  <si>
    <t>Global Pricing Engine (GPE): Cálculo de tasas de interés y soporte a la operación para los clientes personas morales</t>
  </si>
  <si>
    <t>VolPay y Alto/Payment Hub: Transformación de mensajes ISO 20022.</t>
  </si>
  <si>
    <t>Servicio de grabación de llamadas telefónicas para el grupo de ejecutivos del piso financiero (Trading Floor), Enterprise Voice Recording.</t>
  </si>
  <si>
    <t>Servicio de alojamiento y manutención de Respuesta de Voz Interactiva (IVR).</t>
  </si>
  <si>
    <t>Servicios relacionados con la administración de Transacciones Episódicas (Altamente Sensitivas)</t>
  </si>
  <si>
    <t>Acceso y mantenimiento de la aplicación denominada CitiDirect Banking Evolution</t>
  </si>
  <si>
    <t>Servicios relacionados con la administración y aprobación de Transacciones Episódicas (Altamente Sensitivas)</t>
  </si>
  <si>
    <t>Acceso y mantenimiento de la aplicación denominada Simpliciti</t>
  </si>
  <si>
    <t xml:space="preserve"> Aspectos administrativos y/u operativos</t>
  </si>
  <si>
    <t>Descripción  del servicio:</t>
  </si>
  <si>
    <t>Negocio en donde se aplica el servicio:</t>
  </si>
  <si>
    <t>Producto en donde se aplica el servicio:</t>
  </si>
  <si>
    <t>Áreas involucradas en el servicio:</t>
  </si>
  <si>
    <t>Sistemas:</t>
  </si>
  <si>
    <t>Continuidad operativa:
i)     Plazo para reestablecer  o reemplazar el servicio.
ii)   Medidas para reemplazar el servico.
iii)  Costos en caso de no ser reemplazable el servico.</t>
  </si>
  <si>
    <t xml:space="preserve">Lista de excepciones </t>
  </si>
  <si>
    <t>Las disposiciones del presente Capítulo XI, no serán aplicables cuando las Instituciones contraten los servicios que se indican a continuación:</t>
  </si>
  <si>
    <t>Selecciona la excepción aplicable (solo 1)</t>
  </si>
  <si>
    <r>
      <t xml:space="preserve">I. Los servicios profesionales o de asesoría, incluyendo mandatos y comisiones distintos a aquellos celebrados para la realización de las operaciones señaladas en el </t>
    </r>
    <r>
      <rPr>
        <sz val="10"/>
        <rFont val="Montserrat"/>
      </rPr>
      <t>Artículo 46 de la Ley.</t>
    </r>
  </si>
  <si>
    <t xml:space="preserve">II. Los servicios auxiliares y complementarios que la Institución reciba de las sociedades a que se refiere el Artículo 88 de la Ley, de las empresas a que se refiere la fracción XII del Artículo 5 de la Ley para Regular las Agrupaciones Financieras, así como los que contraten con sus subsidiarias financieras o demás entidades financieras integrantes del grupo financiero al que pertenezca la propia Institución. </t>
  </si>
  <si>
    <t>III.Los servicios de recepción de recursos de los acreditados para el pago de créditos a favor de la Institución acreditante, así como la realización de procesos operativos y de administración de bases de datos que tengan por objeto la gestión de su cartera de crédito en cualquiera de sus etapas, cuando el tercero con quien pretendan contratar sea algún organismo de fomento supervisado por la Comisión o fideicomiso público que forme parte del Sistema Bancario Mexicano en términos del Artículo 125 de la Ley, o bien, un organismo descentralizado de la Administración Pública Federal, cuyo objeto sea coadyuvar con la actividad prioritaria del Estado de impulsar el desarrollo de las actividades agropecuarias, forestales, pesqueras y demás actividades económicas vinculadas al medio rural, y que adicionalmente estén sujetos a la supervisión de la Comisión, debiendo observarse lo señalado en el Artículo 317 Bis siguiente.</t>
  </si>
  <si>
    <t>IV.Servicios de pagos referenciados de créditos con cargo a Tarjetas de crédito o débito, o en efectivo, que se realicen a través de Empresas Especializadas utilizadas en la red de medios de disposición y que, adicionalmente, estén sujetas a la supervisión de la Comisión como Participantes en la Red de Pagos con Tarjeta, según dichos términos se definen en las Disposiciones de carácter general aplicables a las redes de medios de disposición, emitidas conjuntamente por la Comisión y el Banco de México, o las que las sustituyan. Lo anterior, sin perjuicio de la facultad de la Comisión para formular directamente a las instituciones de crédito los requerimientos de información que deriven de la supervisión que realice con motivo de las operaciones que las Instituciones lleven a cabo a través de dichas Empresas Especializadas.</t>
  </si>
  <si>
    <t xml:space="preserve">V. Servicios de manufactura, envío a domicilio o distribución de:  
a) Tarjetas de crédito inactivas, considerando aquellas en las que se cuenta con un Número de Identificación Personal (NIP) temporal, definido o generado por las propias Instituciones, el cual deba ser modificado inmediatamente después de que el Cliente inicie la Sesión correspondiente en Medios Electrónicos y tarjetas de débito inactivas.  
b) Esqueletos de cheques y libretas para depósito de ahorros. </t>
  </si>
  <si>
    <t>VI.Servicios de traslado de valores.</t>
  </si>
  <si>
    <t>VII. Servicios de gestión para la cobranza administrativa, incluyendo la delegada, conforme a los términos originalmente pactados con el cliente y la recuperación de la cartera crediticia en procesos administrativos o judiciales. La presente fracción no comprende la recepción de pagos a que se refiere la fracción IV del Artículo 319 de las presentes disposiciones.</t>
  </si>
  <si>
    <t>VIII. Servicios de mantenimiento preventivo y correctivo de equipos y sistemas de cómputo en red, propios, en arrendamiento, o en co-ubicación, siempre y cuando el tercero contratado no tenga permisos de acceso para conocer Información Sensible, información de configuración de seguridad de los equipos, ni a la administración de control de accesos.</t>
  </si>
  <si>
    <t xml:space="preserve">IX.Servicios de telecomunicaciones para la transmisión de información, siempre y cuando las Instituciones cuenten con: 
a) Esquemas de redundancia o mecanismos alternos en las telecomunicaciones de punto a punto que permitan contar con enlaces de comunicación que minimicen el riesgo de interrupción en el servicio de telecomunicaciones. 
b) Medidas para asegurar la transmisión de la Información Sensible del Usuario en forma cifrada punto a punto y elementos o controles de seguridad en cada uno de los nodos involucrados en el envío y recepción de datos. </t>
  </si>
  <si>
    <t xml:space="preserve">X. Los servicios relacionados con la gestión de la Institución, tales como limpieza, seguridad, mensajería y correspondencia, almacenamiento y resguardo físico de información y documentación, entre otros. </t>
  </si>
  <si>
    <t xml:space="preserve">XI.El derecho de uso por licenciamiento de software que se instale y resida en la Infraestructura Tecnológica de la propia Institución que lo esté adquiriendo. </t>
  </si>
  <si>
    <t xml:space="preserve">XII. El servicio de procesamiento de operaciones crediticias en su fase de promoción y evaluación. </t>
  </si>
  <si>
    <t xml:space="preserve">XIII. Los servicios de timbrado de estados de cuenta de empresas que conformen el padrón de órganos certificadores autorizados ante el Sistema de Administración Tributaria. </t>
  </si>
  <si>
    <t xml:space="preserve"> XIV. Los servicios de liquidación y compensación de operaciones con tarjetas relacionados con entidades establecidas como Cámaras de Compensación, de conformidad con las Disposiciones de carácter general aplicables a las redes de medios de disposición, emitidas conjuntamente por la Comisión y el Banco de México, o las que las sustituyan. </t>
  </si>
  <si>
    <t xml:space="preserve">XV. Los certificadores de servicios de firma electrónica acreditados ante el Sistema de Administración Tributaria, así como los servicios de emisión de constancias de conservación de mensajes de datos y digitalización de documentos por prestadores de servicios de certificación autorizados por la Secretaría de Economía.  </t>
  </si>
  <si>
    <t xml:space="preserve">XVI.El servicio de administración de bases de datos de información biométrica o de consulta de esta información que provean las autoridades financieras, electorales o fiscales mexicanas, o dependencias federales. </t>
  </si>
  <si>
    <t>XVII. El servicio para desarrollar o administrar interfaces de programación de aplicaciones informáticas estandarizadas que permitan compartir los datos financieros abiertos y datos agregados a que se refieren las fracciones I y II del Artículo 76 de la Ley para Regular las Instituciones de Tecnología Financiera; en el entendido que tratándose del servicio para el desarrollo o administración de interfaces de programación de aplicaciones informáticas estandarizadas que permitan compartir datos transaccionales a que se refiere la fracción III del referido Artículo 76, las Instituciones deberán observar lo previsto en los Artículos 326 o 328 de las presentes disposiciones, según corresponda.</t>
  </si>
  <si>
    <t>Facilidad regulatoria para la SOFOM</t>
  </si>
  <si>
    <t>Título sexto, Capítulo I</t>
  </si>
  <si>
    <t>Artículo 72</t>
  </si>
  <si>
    <t>Fracción XIII</t>
  </si>
  <si>
    <r>
      <t xml:space="preserve">XIII. El Capítulo XI del Título Quinto de la Circular Única de Bancos. 
Las Sociedades Financieras de Objeto Múltiple Reguladas a que se refiere este artículo, podrán contratar a los terceros o comisionistas sobre los cuales se haya dado el aviso o tengan autorizados las instituciones de crédito con las que mantengan vínculos patrimoniales, sin tener que dar el aviso o solicitar a la Comisión la autorización a que hace referencia el Capítulo XI del Título Quinto de la Circular Única de Bancos, siempre y cuando presenten ante la Comisión, con una anticipación de por lo menos veinte días hábiles a la fecha en que pretenda celebrar los contratos respectivos, </t>
    </r>
    <r>
      <rPr>
        <sz val="10"/>
        <color rgb="FFFF0000"/>
        <rFont val="Montserrat"/>
      </rPr>
      <t>una manifestación suscrita por el director general en la que se señale que los servicios o comisiones que se proporcionarán a través de los terceros o comisionistas son respecto de los cuales se ha presentado el aviso o han sido autorizados a la institución de crédito con la que mantiene vínculos patrimoniales, y se trata de las mismas operaciones o servicios y esquema de operación que los autorizados a la institución de crédito o por las que se dio aviso a la Comisión</t>
    </r>
    <r>
      <rPr>
        <sz val="10"/>
        <color theme="1"/>
        <rFont val="Montserrat"/>
      </rPr>
      <t>, en el entendido de que son servicios necesarios para la operación o son comisiones para llevar a cabo operaciones que dichas Sociedades Financieras de Objeto Múltiple Reguladas pueden realizar.</t>
    </r>
  </si>
  <si>
    <t>Requerimientos de excepciones</t>
  </si>
  <si>
    <t>Art 317</t>
  </si>
  <si>
    <t>Párrafo quinto</t>
  </si>
  <si>
    <t>Para los servicios referidos en la fracción II anterior, las Instituciones deberán contar con políticas y procedimientos relativos a la realización de auditorías internas o externas sobre los servicios proporcionados, al menos una vez cada dos años, con el fin de evaluar los controles operativos implementados, el cumplimiento de las condiciones pactadas, así como las medidas de confidencialidad y seguridad de los servicios contratados</t>
  </si>
  <si>
    <t>Art 317 Bis</t>
  </si>
  <si>
    <t>Las Instituciones deberán solicitar a la Comisión la confirmación de las excepciones previstas en las fracciones III y IV del Artículo 317 de estas disposiciones, por lo menos con 20 días hábiles de anticipación a la prestación del servicio de que se trate. En caso de que la Institución no reciba respuesta por escrito por parte de la Comisión en un plazo de 20 días hábiles posteriores a la recepción de la solicitud, podrá iniciarse la prestación del respectivo servicio.</t>
  </si>
  <si>
    <t>La evidencia que acredite haber obtenido el consentimiento del tercero para proporcionar directamente a la Comisión los datos, informes, registros, libros de actas, auxiliares, documentos, correspondencia y en general, la información que esta última estime necesaria en la forma y términos que les señale, así como para permitirle el acceso a sus oficinas, locales y demás instalaciones, respecto de los servicios que proporcione a la Institución de que se trate.</t>
  </si>
  <si>
    <t>Una explicación del servicio a contratar, especificando la forma en que el tercero recibirá los recursos para el pago de créditos respectivos, manifestando si en adición a tal operación, el tercero prestará algún otro servicio que requiera presentar el aviso u obtener la autorización a que se refieren los Artículos 326 o 328 de las presentes disposiciones, respectivamente</t>
  </si>
  <si>
    <t>Ley de Instituciones de Crédito</t>
  </si>
  <si>
    <t xml:space="preserve">Ley para Regular las Agrupaciones Financieras </t>
  </si>
  <si>
    <t>Ley para Regular las Instituciones de Tecnología Financiera</t>
  </si>
  <si>
    <t xml:space="preserve">Disposiciones de Carácter General Aplicables a las Instituciones de Crédito </t>
  </si>
  <si>
    <t xml:space="preserve">Artículo 46.- Las instituciones de crédito sólo podrán realizar las operaciones siguientes: 
I. Recibir depósitos bancarios de dinero: 
          a) A la vista; 
          b) Retirables en días preestablecidos; 
          c) De ahorro, y 
          d) A plazo o con previo aviso; 
II. Aceptar préstamos y créditos; 
III. Emitir bonos bancarios; 
IV. Emitir obligaciones subordinadas; 
V. Constituir depósitos en instituciones de crédito y entidades financieras del exterior; 
VI. Efectuar descuentos y otorgar préstamos o créditos; 
VII. Expedir tarjetas de crédito con base en contratos de apertura de crédito en cuenta corriente; 
VIII. Asumir obligaciones por cuenta de terceros, con base en créditos concedidos, a través del otorgamiento de aceptaciones, endoso o aval de títulos de crédito, así como de la expedición de cartas de crédito; 
IX. Operar con valores en los términos de las disposiciones de la presente Ley y de la Ley del Mercado de Valores; 
X. Promover la organización y transformación de toda clase de empresas o sociedades mercantiles y suscribir y conservar acciones o partes de interés en las mismas, en los términos de esta Ley; 
XI. Operar con documentos mercantiles por cuenta propia; 
XII. Llevar a cabo por cuenta propia o de terceros operaciones con oro, plata y divisas, incluyendo reportos sobre estas últimas; 
XIII. Prestar servicio de cajas de seguridad; 
XIV. Expedir cartas de crédito previa recepción de su importe, hacer efectivos créditos y realizar pagos por cuenta de clientes; 
XV. Practicar las operaciones de fideicomiso a que se refiere la Ley General de Títulos y Operaciones de Crédito, y llevar a cabo mandatos y comisiones. </t>
  </si>
  <si>
    <t>Artículo 5. Fracción XII. Prestadoras de Servicio, a las empresas que presten servicios complementarios o auxiliares a la propia Sociedad Controladora o a los demás integrantes del Grupo Financiero.</t>
  </si>
  <si>
    <t>Artículo 76, Fracción I. Datos financieros abiertos: son aquellos generados por las entidades mencionadas en el primer párrafo de este artículo que no contienen información confidencial, tales como información de productos y servicios que ofrecen al público general, la ubicación de sus oficinas y sucursales, cajeros automáticos u otros puntos de acceso a sus productos y servicios, entre otros y según sea aplicable
Artículo 76, Fracción II. Datos agregados: son los relativos a cualquier tipo de información estadística relacionada con operaciones realizadas por o a través de las entidades mencionadas en el primer párrafo de este artículo, sin contener un nivel de desagregación tal que puedan identificarse los datos personales o transacciones de una persona. Solamente tendrán acceso a los datos agregados las personas que cuenten con los mecanismos de autenticación que establezcan las Comisiones Supervisoras, o el Banco de México para el caso de las cámaras de compensación y sociedades de información crediticia a que se refiere el primer párrafo de este artículo, mediante disposiciones de carácter general que para tal efecto emitan 
Artículo 76, Fracción III. Datos transaccionales: son aquellos relacionados con el uso de un producto o servicio, incluyendo cuentas de depósito, créditos y medios de disposición contratados a nombre de los clientes de las entidades mencionadas en el primer párrafo de este artículo, entre otra información relacionada con las transacciones que los clientes hayan realizado o intentado realizar en su Infraestructura Tecnológica. Estos datos, en su carácter de datos personales de los clientes, solo podrán compartirse con la previa autorización expresa de éstos.</t>
  </si>
  <si>
    <t>Artículo 326.- Las Instituciones en la contratación de terceros para la realización de un proceso operativo o para la administración de bases de datos y sistemas informáticos, relacionados con operaciones diferentes a las referidas en la Sección Segunda anterior, deberán dar aviso a la Comisión, previamente a la contratación con terceros, con otras Instituciones o entidades financieras, para la correspondiente prestación de servicios o comisión.
En caso de que la Institución no reciba dicho requerimiento por escrito por parte de la Comisión en el
plazo antes mencionado, se tomará como “afirmativa ficta” y podrá iniciarse la prestación del servicio o
comisión en cuestión.
El aviso a que se refiere este artículo, deberá precisar el proceso operativo o de administración de bases de datos y sistemas informáticos objeto de los servicios o comisiones de que se trata y entregarse a la Comisión con una anticipación de por lo menos veinte días hábiles a la fecha en que pretendan contratar dichos servicios o comisiones. Tratándose de instituciones de banca de desarrollo, el citado aviso deberá presentarse al inicio de los procedimientos a que se refieren las fracciones I y II del Artículo 26 de la Ley de Adquisiciones, Arrendamientos y Servicios del Sector Público, en caso de resultar aplicable esta última ley y una vez obtenida la excepción a que se refiere el Artículo 47 de la Ley La Comisión, en protección de los intereses del público usuario y en su carácter de autoridad supervisora, antes de la fecha en que se pretenda contratar el servicio o comisión respectivos, tendrá la facultad de requerir a la Institución que la prestación de dicho servicio no se realice a través del tercero o comisionista señalado en el aviso a que se refiere el presente artículo, cuando considere que por los términos y condiciones de contratación del servicio o las políticas y procedimientos de control interno, la infraestructura tecnológica o de comunicaciones materia del servicio, sea previsible que no estarían en posibilidad de cumplir con las disposiciones aplicables a la propia Institución y, en su caso, pueda verse afectada la estabilidad financiera o continuidad operativa de esta última, a juicio de la Comisión.
 En caso de que la Institución no reciba dicho requerimiento por escrito por parte de la Comisión en el plazo antes mencionado, se tomará como “afirmativa ficta” y podrá iniciarse la prestación del servicio o comisión en cuestión.</t>
  </si>
  <si>
    <t xml:space="preserve">Las instituciones de crédito podrán celebrar operaciones consigo mismas en el cumplimiento de fideicomisos, mandatos o comisiones, cuando el Banco de México lo autorice mediante disposiciones de carácter general, en las que se establezcan requisitos, términos y condiciones que promuevan que las operaciones de referencia se realicen en congruencia con las condiciones de mercado al tiempo de su celebración, así como que se eviten conflictos de interés; 
XVI. Recibir depósitos en administración o custodia, o en garantía por cuenta de terceros, de títulos o valores y en general de documentos mercantiles; 
XVII. Actuar como representante común de los tenedores de títulos de crédito; 
XVIII. Hacer servicio de caja y tesorería relativo a títulos de crédito, por cuenta de las emisoras; 
XIX. Llevar la contabilidad y los libros de actas y de registro de sociedades y empresas; 
XX. Desempeñar el cargo de albacea; XXI. Desempeñar la sindicatura o encargarse de la liquidación judicial o extrajudicial de negociaciones, establecimientos, concursos o herencias; 
XXII. Encargarse de hacer avalúos que tendrán la misma fuerza probatoria que las leyes asignan a los hechos por corredor público o perito; 
XXIII. Adquirir los bienes muebles e inmuebles necesarios para la realización de su objeto y enajenarlos cuando corresponda;
XXIV. Celebrar contratos de arrendamiento financiero y adquirir los bienes que sean objeto de tales contratos.
XXV. Realizar operaciones derivadas, sujetándose a las disposiciones técnicas y operativas que expida el Banco de México, en las cuales se establezcan las características de dichas operaciones, tales como tipos, plazos, contrapartes, subyacentes, garantías y formas de liquidación;
XXVI. Efectuar operaciones de factoraje financiero;
XXVI bis. Emitir y poner en circulación cualquier medio de pago que determine el Banco de México, sujetándose a las disposiciones técnicas y operativas que éste expida, en las cuales se establezcan entre otras características, las relativas a su uso, monto y vigencia, a fin de propiciar el uso de diversos medios de pago;
</t>
  </si>
  <si>
    <t xml:space="preserve">Artículo 334.- Las Instituciones, en sus políticas relativas a la contratación de servicios o comisiones, deberán considerar cuando menos, los lineamientos y criterios para la selección de estos, así como las medidas de evaluación de los servicios y comisiones contratados. Dentro de las medidas de evaluación de los servicios o comisiones a que se refiere este capítulo, deberá considerarse lo siguiente:
I. La capacidad de los terceros o comisionistas para implementar medidas o planes que permitan mantener la continuidad del servicio con niveles adecuados de desempeño, confiabilidad,capacidad y seguridad.
II. La integridad, precisión, seguridad, confidencialidad, resguardo, oportunidad y confiabilidad en el manejo de la información generada con motivo de la prestación de los servicios o comisiones, así como el acceso a dicha información, a fin de que sólo puedan tener acceso a ella, las personas quedeban conocerla.
III. Los métodos con que cuenta la Institución para evaluar el cumplimiento al contrato correspondiente, o bien, la adecuada prestación de los servicios o comisiones.
IV. Los criterios y procedimientos para calificar periódicamente la calidad del servicio.
V. La capacidad de las Instituciones de mantener la continuidad en la prestación de los servicios o comisiones que se hubieren contratado, o bien, las opciones externas con que se cuenta en cualquier caso, a fin de disminuir la vulnerabilidad operativa de la Institución.
VI. La afectación de los Niveles de Tolerancia al Riesgo.
VII. La capacidad de las Instituciones, en la Administración Integral de Riesgos para identificar, medir, vigilar, limitar, controlar, informar y revelar los riesgos que puedan derivarse de la prestación de los
servicios o comisiones a que se refiere este Capítulo XI.
VIII. La capacidad del Sistema de Control Interno para cumplir con las políticas y procedimientos que regulen y controlen la prestación de los servicios o comisiones a que se refiere este capítulo.
 IX. Los resultados de las pruebas de escaneo de vulnerabilidades y pruebas de penetración a las que se refiere el Artículo 168 bis 12, fracciones III y IV de las presentes disposiciones.
El Consejo deberá designar a un responsable, que podrá ser el Auditor Interno o el Comité de Auditoría, para que dé seguimiento, evalúe y reporte periódicamente a dicho Consejo, el desempeño del prestador de servicios o comisionista, así como el cumplimiento de las normas aplicables relacionadas con los servicios o las operaciones correspondientes.
El Consejo deberá revisar cuando menos una vez al año, las políticas de selección de los terceros o comisionistas y aprobar las modificaciones que sean necesarias con base en los resultados de las evaluaciones realizadas por el responsable de dar seguimiento y evaluar el desempeño de aquéllos.
Tratándose de las operaciones de compra y venta de efectivo de dólares de los Estados Unidos de América a que se refiere la fracción XI del Artículo 319 de las presentes disposiciones, las Instituciones únicamente deberán considerar en sus políticas, las medidas referidas en las fracciones II y III anteriores.
</t>
  </si>
  <si>
    <t>XXVII. Intervenir en la contratación de seguros para lo cual deberán cumplir con lo establecido en la Ley General de Instituciones y Sociedades Mutualistas de Seguros y en las disposiciones de carácter general que de la misma emanen, y
XXVIII. Las análogas o conexas que autorice la Secretaría de Hacienda y Crédito Público, oyendo la opinión del Banco de México y de la Comisión Nacional Bancaria y de Valores. 
Las instituciones de banca múltiple únicamente podrán realizar aquellas operaciones previstas en las fracciones anteriores que estén expresamente contempladas en sus estatutos sociales, previa aprobación de la Comisión Nacional Bancaria y de Valores en términos de lo dispuesto por los artículos 9o. y 46 Bis de la presente Ley. 
La Secretaría de Hacienda y Crédito Público, la Comisión Nacional Bancaria y de Valores y el Banco de México, dentro de la regulación que deban emitir en el ámbito de su competencia, deberán considerar las operaciones que las instituciones de banca múltiple estén autorizadas a realizar conforme a lo previsto en los artículos 8o., 10 y 46 Bis de esta Ley, y diferenciar, cuando lo estimen procedente, dicha regulación en aspectos tales como la infraestructura con que deberán contar y la información que deberán proporcionar, entre otros. Asimismo, se podrán considerar los modelos de negocios o características de sus operaciones.</t>
  </si>
  <si>
    <t xml:space="preserve">Artículo 46 Bis 1.- Las instituciones de crédito podrán pactar con terceros, incluyendo a otras instituciones de crédito o entidades financieras, la prestación de servicios necesarios para su operación, así como comisiones para realizar las operaciones previstas en el artículo 46 de esta Ley, de conformidad con las disposiciones de carácter general que expida la Comisión Nacional Bancaria y de Valores, previo acuerdo de su Junta de Gobierno. 
Las operaciones que lleven a cabo los comisionistas deberán realizarse a nombre y por cuenta de las instituciones de crédito con las que celebren los actos jurídicos mencionados en el primer párrafo de este artículo. Asimismo, los instrumentos jurídicos que documenten las comisiones deberán prever que las instituciones de crédito responderán por las operaciones que los comisionistas celebren por cuenta de dichas instituciones, aun cuando éstas se lleven a cabo en términos distintos a los previstos en tales instrumentos jurídicos. Las disposiciones de carácter general a que se refiere el primer párrafo de este artículo, deberán contener, entre otros, los siguientes elementos: 
I. Los lineamientos técnicos y operativos que deberán observarse para la realización de tales operaciones, así como para salvaguardar la confidencialidad de la información de los usuarios del sistema bancario y proveer que en la celebración de dichas operaciones se cumplan las disposiciones aplicables; 
II. Las características de las personas físicas o morales que podrán ser contratadas por las instituciones como terceros en términos del presente artículo. Tratándose de entidades de la Administración Pública Federal o Estatal, las reglas sólo podrán incluir aquellas facultadas expresamente por su ley o reglamento para prestar los servicios o comisiones de que se trate; 
III. Los requisitos respecto de los procesos operativos y de control que las instituciones deberán exigir a los terceros contratados;
IV. El tipo de operaciones que podrán realizarse a través de terceros, quedando facultada la Comisión Nacional Bancaria y de Valores para señalar el tipo de operaciones en los que se requerirá de su autorización previa; 
V. Los contratos de prestación de servicios o comisiones que celebren en términos de este artículo que la Comisión determine que deberán serle entregados por las instituciones de banca múltiple, así como la forma, condiciones y plazos de dicha entrega; </t>
  </si>
  <si>
    <t>VI. Los límites aplicables a las operaciones que podrán llevarse a cabo a través de terceros por cuenta de la propia institución, observando en todo caso, respecto de las operaciones previstas en las fracciones I y II del artículo 46 de esta Ley, lo siguiente: 
      a) Individuales, por tipo de operación y cliente, los cuales no excederán por comisionista de un monto diario equivalente en moneda nacional a 1,500 Unidades de Inversión, por cada tipo de inversión y cuenta, tratándose de retiros en efectivo y pago de cheques, así como del equivalente en moneda nacional a 4,000 Unidades de Inversión respecto de depósitos en efectivo, y 
      b) Agregados, que no excederán por comisionista de un monto mensual equivalente al cincuenta por ciento del importe total de las operaciones realizadas en el período por la institución de que se trate. El límite a que se refiere este inciso, será de sesenta y cinco por ciento, durante los primeros dieciocho meses de operación con el comisionista. Para efectos de lo anterior se entenderá como un sólo comisionista a un Grupo empresarial de conformidad con la definición a que se refiere la fracción V del artículo 22 Bis de esta Ley. 
La celebración de las operaciones que podrán llevarse a cabo a través de terceros por cuenta de la propia institución a que se refieren las fracciones I y II del artículo 46 de esta Ley serán sujetas de la autorización a que se refiere la fracción IV de este artículo. 
Los límites a que se refiere la presente fracción no serán aplicables cuando: 
      i) El tercero sea una entidad de la Administración Pública Federal, Estatal o Municipal; 
      ii) Se trate de operaciones relacionadas con la fracción XXVI Bis del artículo 46 de esta Ley; 
      iii) Los terceros con los que se contrate sean instituciones de crédito, casas de bolsa o entidades de ahorro y crédito popular. 
VII. Las políticas y procedimientos con que deberán contar las instituciones de crédito para vigilar el desempeño de los terceros que sean contratados, así como el cumplimiento de sus obligaciones contractuales, entre las cuales deberá preverse la obligación de dichos terceros de proporcionar a la Comisión Nacional Bancaria y de Valores, y a los auditores externos de las instituciones, a solicitud de éstas, los registros, la información y el apoyo técnico relativos a los servicios prestados a la institución, y</t>
  </si>
  <si>
    <t>VIII. Las operaciones y servicios que las instituciones no podrán pactar que los terceros les proporcionen en forma exclusiva. 
Lo dispuesto en el artículo 142 de esta Ley también le será aplicable a los terceros a que se refiere el presente artículo, así como a los representantes, directivos y empleados de dichos terceros, aun cuando dejen de laborar o prestar sus servicios a tales terceros. 
La Comisión Nacional Bancaria y de Valores, previo derecho de audiencia que se otorgue a la institución de crédito, podrá ordenar la suspensión parcial o total, temporal o definitiva, de la prestación de los servicios o comisiones a través del tercero de que se trate, cuando se incumplan las disposiciones que se mencionan en este artículo o pueda verse afectada la continuidad operativa de la institución de crédito o en protección de los intereses del público. Lo anterior, salvo que la propia Comisión apruebe un programa de regularización que reúna los requisitos que al efecto se establezcan en las disposiciones de carácter general referidas.
La Comisión Nacional Bancaria y de Valores formulará directamente a las instituciones de crédito los requerimientos de información y, en su caso, las observaciones y medidas correctivas que deriven de la supervisión que realice con motivo de las actividades que las instituciones lleven a cabo a través de prestadores de servicios o comisionistas conforme a lo previsto en el presente artículo, para asegurar la continuidad de los servicios que las instituciones proporcionan a sus clientes, la integridad de la información y el apego a lo establecido en esta ley. Asimismo, la Comisión estará facultada, en todo momento, para efectuar actos de supervisión, inspección y vigilancia respecto de los prestadores de servicios o comisionistas que las instituciones contraten en términos de este artículo, así como practicar inspecciones a los terceros que contraten las instituciones de crédito con respecto de las actividades contratadas, o bien, ordenar a las instituciones realizar auditorías a dichos terceros, quedando obligada la propia institución a rendir un informe a la Comisión al respecto. 
La Comisión deberá especificar el objeto de las inspecciones o auditorías, las cuales deberán circunscribirse a la materia del servicio contratado y al cumplimiento de lo previsto en esta Ley y las disposiciones que de ella emanen. Al efecto, las instituciones deberán pactar en los contratos mediante los cuales se formalice la prestación de estos servicios o comisiones, la estipulación expresa del tercero contratado de que acepta apegarse a lo establecido en el presente artículo. 
Las empresas a las que se refiere el artículo 88 de la presente Ley, así como las entidades integrantes del grupo financiero al que pertenezca la institución, incluyendo a la sociedad controladora y a las subsidiarias del propio grupo financiero, no estarán sujetas a lo dispuesto en el presente artículo. Sin perjuicio de lo anterior, dichas empresas deberán sujetarse a las disposiciones de carácter general que le sean aplicables.</t>
  </si>
  <si>
    <t>Artículo 88.- Las instituciones de crédito requerirán autorización de la Comisión Nacional Bancaria y de Valores para invertir en títulos representativos del capital social de empresas que les presten servicios complementarios o auxiliares en su administración o en la realización de su objeto, así como de sociedades inmobiliarias que sean propietarias o administradoras de bienes destinados a sus oficinas. 
Las empresas y sociedades en cuyo capital social participen las instituciones de crédito conforme al presente artículo se sujetarán a las reglas generales que dicte la Comisión Nacional Bancaria y de Valores, las cuales tendrán como finalidad primordial permitir la supervisión del desempeño y situación de las instituciones, así como a la inspección y vigilancia de la misma y, en consecuencia, deberán cubrir las cuotas de inspección y vigilancia correspondientes.</t>
  </si>
  <si>
    <t xml:space="preserve">Artículo 117.- La supervisión de las entidades reguladas por la presente Ley estará a cargo de la Comisión Nacional Bancaria y de Valores, quien la llevará a cabo sujetándose a lo previsto en su Ley, en el Reglamento respectivo y en las demás disposiciones que resulten aplicables. La citada Comisión podrá efectuar visitas de inspección a las instituciones de crédito, con el objeto de revisar, verificar, comprobar y evaluar las operaciones, organización, funcionamiento, los procesos, los sistemas de control interno, de administración de riesgos y de información, así como el patrimonio, la adecuación del capital a los riesgos, la calidad de los activos y, en general, todo lo que pudiendo afectar la posición financiera y legal, conste o deba constar en los registros, a fin de que las instituciones de crédito se ajusten al cumplimiento de las disposiciones que las rigen y a las sanas prácticas de la materia.
La supervisión de las entidades reguladas por la presente Ley respecto de lo previsto por los artículos 48 Bis 5, 94 Bis y 96 Bis, párrafos segundo, tercero y cuarto, así como de las materias expresamente conferidas por otras Leyes, estará a cargo de la Comisión Nacional para la Protección y Defensa de los Usuarios de Servicios Financieros, quien la llevará a cabo sujetándose a lo previsto en la Ley de Protección y Defensa al Usuario de Servicios Financieros, en el Reglamento respectivo y en las demás disposiciones que resulten aplicables. La Comisión Nacional Bancaria y de Valores a solicitud de la Comisión Nacional para la Protección y Defensa de los Usuarios de Servicios Financieros efectuará visitas de inspección a las instituciones de crédito, que tendrán por objeto revisar, verificar, comprobar y evaluar que las instituciones de crédito se ajusten al cumplimiento de las disposiciones a que se refiere este párrafo.
Asimismo, las Comisiones Nacionales Bancaria y de Valores y para la Protección y Defensa de los Usuarios de Servicios Financieros, en sus respectivas competencias, podrán investigar hechos, actos u omisiones de los cuales pueda presumirse la violación a esta Ley y demás disposiciones que de ella deriven.
Las visitas de inspección que efectúe la Comisión Nacional Bancaria y de Valores podrán ser ordinarias, especiales y de investigación, las primeras se llevarán a cabo de conformidad con el programa anual que se establezca al efecto; las segundas serán aquellas que sin estar incluidas en el programa anual referido, se practiquen en cualquiera de los supuestos siguientes: 
 I. Para examinar y, en su caso, corregir situaciones especiales operativas. 
II. Para dar seguimiento a los resultados obtenidos en una visita de inspección. </t>
  </si>
  <si>
    <t xml:space="preserve">III. Cuando se presenten cambios o modificaciones en la situación contable, jurídica, económica, financiera o administrativa de una institución de crédito.
IV. Cuando una institución de crédito inicie operaciones después de la elaboración del programa anual a que se refiere este párrafo. 
V. Cuando se presenten actos, hechos u omisiones en una institución de crédito que no hayan sido originalmente contempladas en el programa anual a que se refiere este párrafo, que motiven la realización de la visita.
VI. Cuando deriven de solicitudes formuladas por otras autoridades nacionales facultadas para ello en términos de las disposiciones aplicables, así como de la cooperación internacional.
Las visitas de investigación se efectuarán siempre que la Comisión Nacional Bancaria y de Valores tenga indicios de los cuales pueda desprenderse la realización de alguna conducta que presuntamente contravenga lo previsto en esta Ley y demás disposiciones de carácter general que emanen de ella.
En todo caso, las visitas de inspección a que se refiere este artículo se sujetarán a lo dispuesto en esta Ley, en la Ley de la Comisión Nacional Bancaria y de Valores, en los Reglamentos a que se refiere el primer y segundo párrafos de este mismo artículo, así como a las demás disposiciones que resulten aplicables.
Cuando, en el ejercicio de la función prevista en este artículo, la Comisión Nacional Bancaria y de Valores así lo requiera, podrá contratar los servicios de auditores y de otros profesionistas que le auxilien en dicha función.
La vigilancia por parte de la Comisión Nacional Bancaria y de Valores se efectuará a través del análisis de la información contable, legal, económica, financiera, administrativa, de procesos y de procedimientos que obtenga dicha Comisión con base en las disposiciones que resulten aplicables, con la finalidad de evaluar el apego a la normativa que rige a las instituciones de crédito, así como la estabilidad y correcto funcionamiento de éstas.
La vigilancia por parte de la Comisión para la Protección y Defensa de los Usuarios de Servicios Financieros se efectuará a través del análisis de la información que obtenga dicha Comisión con base en las disposiciones que resulten aplicables, con la finalidad de evaluar el apego a las normas jurídicas que sean de su competencia que rigen a las instituciones de crédito, así como la adecuada protección de los usuarios de servicios financieros.
</t>
  </si>
  <si>
    <t>Sin perjuicio de la información y documentación que las instituciones de crédito deban proporcionarle periódicamente, la Comisión Nacional Bancaria y de Valores podrá, dentro del ámbito de las disposiciones aplicables, solicitarles la información y documentación que requiera para poder cumplir con su función de vigilancia.
 Las Comisiones Nacionales Bancaria y de Valores y para la Protección y Defensa de los Usuarios de Servicios Financieros como resultado de sus facultades de supervisión, podrán formular observaciones y ordenar la adopción de medidas tendientes a corregir los hechos, actos u omisiones irregulares que hayan detectado con motivo de dichas funciones, en términos de esta Ley.
La Secretaría de Hacienda y Crédito Público en ejercicio de las atribuciones que le confiere el artículo 5o. de la presente Ley, resolverá las consultas que se presenten respecto del ámbito de competencia en materia de supervisión que corresponde a las Comisiones Nacionales Bancaria y de Valores y para la Protección y Defensa de los Usuarios de Servicios Financieros.</t>
  </si>
  <si>
    <t>Artículo 125.- La Secretaría de Hacienda y Crédito Público señalará, en la relación que publique anualmente en atención a lo dispuesto por el artículo 12 de la Ley Federal de las Entidades Paraestatales, aquellos fideicomisos públicos que tengan el carácter de entidades paraestatales y que formen parte del Sistema Bancario Mexicano, de conformidad con el artículo 3o. de la presente Ley. (85) Para efectos de la integración de la relación a que se refiere el párrafo anterior, las dependencias coordinadoras de sector deberán proporcionar a la Secretaría de Hacienda y Crédito Público la determinación de aquellos fideicomisos públicos constituidos como entidades paraestatales que formen parte del Sistema Bancario Mexicano en términos del artículo 3o. de la presente Ley, y que se encuentren agrupados en el sector coordinado por las mismas. (85) Los fideicomisos públicos que formen parte del Sistema Bancario Mexicano estarán sujetos a la supervisión de la Comisión Nacional Bancaria y de Valores. La Comisión Nacional Bancaria y de Valores, respecto de aquellos fideicomisos que dejen de formar parte de dicho sistema y que hayan incurrido en incumplimientos de las disposiciones aplicables durante el tiempo en que fueron sujetos a su supervisión, llevará a cabo los actos necesarios para la imposición de las sanciones a que haya lugar, incluso con posterioridad. (85) La referida Comisión, al ejercer las facultades de supervisión sobre los fideicomisos de que se trata, contará con las mismas atribuciones que le confieren los artículos 117 y 118 de esta Ley, así como las que le otorga la ley que rige dicha Comisión, con respecto a las instituciones de banca de desarrollo. (85) La Comisión Nacional Bancaria y de Valores emitirá reglas prudenciales, de registro contable de operaciones, de requerimientos de información financiera, de estimación de activos y pasivos y de constitución de reservas preventivas, aplicables a los fideicomisos a que se refiere este artículo.</t>
  </si>
  <si>
    <t>Artículo 142.- La información y documentación relativa a las operaciones y servicios a que se refiere el artículo 46 de la presente Ley, tendrá carácter confidencial, por lo que las instituciones de crédito, en protección del derecho a la privacidad de sus clientes y usuarios que en este artículo se establece, en ningún caso podrán dar noticias o información de los depósitos, operaciones o servicios, incluyendo los previstos en la fracción XV del citado artículo 46, sino al depositante, deudor, titular, beneficiario, fideicomitente, fideicomisario, comitente o mandante, a sus representantes legales o a quienes tengan otorgado poder para disponer de la cuenta o para intervenir en la operación o servicio.
Como excepción a lo dispuesto por el párrafo anterior, las instituciones de crédito estarán obligadas a dar las noticias o información a que se refiere dicho párrafo, cuando lo solicite la autoridad judicial en virtud de providencia dictada en juicio en el que el titular o, en su caso, el fideicomitente, fideicomisario, fiduciario, comitente, comisionista, mandante o mandatario sea parte o acusado. Para los efectos del presente párrafo, la autoridad judicial podrá formular su solicitud directamente a la institución de crédito, o a través de la Comisión Nacional Bancaria y de Valores.
Las instituciones de crédito también estarán exceptuadas de la prohibición prevista en el primer párrafo de este artículo y, por tanto, obligadas a dar las noticias o información mencionadas, en los casos en que sean solicitadas por las siguientes autoridades:
I. El Fiscal General de la República o el servidor público en quien delegue facultades para requerir información, para la comprobación del hecho que la ley señale como delito y de la probable responsabilidad del imputado;
II. Los procuradores generales de justicia de los Estados de la Federación y del Distrito Federal o subprocuradores, para la comprobación del hecho que la ley señale como delito y de la probable responsabilidad del imputado;
III. El Procurador General de Justicia Militar, para la comprobación del hecho que la ley señale como delito y de la probable responsabilidad del imputado;
IV. Las autoridades hacendarias federales, para fines fiscales;
V. La Secretaría de Hacienda y Crédito Público, para efectos de lo dispuesto por el artículo 115 de la presente Ley;</t>
  </si>
  <si>
    <t>VI. El Tesorero de la Federación, cuando el acto de vigilancia lo amerite, para solicitar los estados de cuenta y cualquier otra información relativa a las cuentas personales de los servidores públicos, auxiliares y, en su caso, particulares relacionados con la investigación de que se trate;
VII. La Auditoría Superior de la Federación, en ejercicio de sus facultades de revisión y fiscalización de la Cuenta Pública Federal y respecto a cuentas o contratos a través de los cuáles se administren o ejerzan recursos públicos federales;
VIII. El titular y los subsecretarios de la Secretaría de la Función Pública, en ejercicio de sus facultades de investigación o auditoría para verificar la evolución del patrimonio de los servidores públicos federales.
La solicitud de información y documentación a que se refiere el párrafo anterior, deberá formularse en todo caso, dentro del procedimiento de verificación a que se refieren los artículos 41 y 42 de la Ley Federal de Responsabilidades Administrativas de los Servidores Públicos, y
IX. La Unidad de Fiscalización de los Recursos de los Partidos Políticos, órgano técnico del Consejo General del Instituto Federal Electoral, para el ejercicio de sus atribuciones legales, en los términos establecidos en el Código Federal de Instituciones y Procedimientos Electorales. Las autoridades electorales de las entidades federativas solicitarán y obtendrán la información que resulte necesaria también para el ejercicio de sus atribuciones legales a través de la unidad primeramente mencionada.
Las autoridades mencionadas en las fracciones anteriores solicitarán las noticias o información a que se refiere este artículo en el ejercicio de sus facultades y de conformidad con las disposiciones legales que les resulten aplicables.
Las solicitudes a que se refiere el tercer párrafo de este artículo deberán formularse con la debida fundamentación y motivación, por conducto de la Comisión Nacional Bancaria y de Valores. Los servidores públicos y las instituciones señalados en las fracciones I y VII, y la unidad de fiscalización a que se refiere la fracción IX, podrán optar por solicitar a la autoridad judicial que expida la orden correspondiente, a efecto de que la institución de crédito entregue la información requerida, siempre que dichos servidores o autoridades especifiquen la denominación de la institución, el número de cuenta, el nombre del cuentahabiente o usuario y demás datos y elementos que permitan su identificación plena, de acuerdo con la operación de que se trate.</t>
  </si>
  <si>
    <t>Los empleados y funcionarios de las instituciones de crédito serán responsables, en los términos de las disposiciones aplicables, por violación del secreto que se establece y las instituciones estarán obligadas en caso de revelación indebida del secreto, a reparar los daños y perjuicios que se causen.
Lo anterior, en forma alguna afecta la obligación que tienen las instituciones de crédito de proporcionar a la Comisión Nacional Bancaria y de Valores, toda clase de información y documentos que, en ejercicio de sus funciones de inspección y vigilancia, les solicite en relación con las operaciones que celebren y los servicios que presten, así como tampoco la obligación de proporcionar la información que les sea solicitada por el Banco de México, el Instituto para la Protección al Ahorro Bancario y la Comisión para la Protección y Defensa de los Usuarios de Servicios Financieros, en los términos de las disposiciones legales aplicables.
Se entenderá que no existe violación al secreto propio de las operaciones a que se refiere la fracción XV del artículo 46 de esta Ley, en los casos en que la Auditoría Superior de la Federación, con fundamento en la ley que norma su gestión, requiera la información a que se refiere el presente artículo.
Los documentos y los datos que proporcionen las instituciones de crédito como consecuencia de las excepciones al primer párrafo del presente artículo, sólo podrán ser utilizados en las actuaciones que correspondan en términos de ley y, respecto de aquéllos, se deberá observar la más estricta confidencialidad, aun cuando el servidor público de que se trate se separe del servicio. Al servidor público que indebidamente quebrante la reserva de las actuaciones, proporcione copia de las mismas o de los documentos con ellas relacionados, o que de cualquier otra forma revele información en ellos contenida, quedará sujeto a las responsabilidades administrativas, civiles o penales correspondientes.
Las instituciones de crédito deberán dar contestación a los requerimientos que la Comisión Nacional Bancaria y de Valores les formule en virtud de las peticiones de las autoridades indicadas en este artículo, dentro de los plazos que la misma determine. La propia Comisión podrá sancionar a las instituciones de crédito que no cumplan con los plazos y condiciones que se establezca, de conformidad con lo dispuesto por los artículos 108 al 110 de la presente Ley.
La Comisión emitirá disposiciones de carácter general en las que establezca los requisitos que deberán reunir las solicitudes o requerimientos de información que formulen las autoridades a que se refieren las fracciones I a IX de este artículo, a efecto de que las instituciones de crédito requeridas estén en aptitud de identificar, localizar y aportar las noticias o información solicitadas.</t>
  </si>
  <si>
    <t>titulo</t>
  </si>
  <si>
    <t>Art 318 (Subcontratado)</t>
  </si>
  <si>
    <t>Art 326</t>
  </si>
  <si>
    <r>
      <t xml:space="preserve">Las Instituciones en la contratación de terceros para la realización de un proceso operativo o para la administración de bases de datos y sistemas informáticos, relacionados con operaciones diferentes a las referidas en la Sección Segunda anterior, </t>
    </r>
    <r>
      <rPr>
        <sz val="10"/>
        <color rgb="FFFF0000"/>
        <rFont val="Montserrat"/>
      </rPr>
      <t xml:space="preserve">deberán dar aviso a la Comisión, previamente a la contratación con terceros, </t>
    </r>
    <r>
      <rPr>
        <sz val="10"/>
        <color theme="1"/>
        <rFont val="Montserrat"/>
      </rPr>
      <t>con otras Instituciones o entidades financieras, para la correspondiente prestación de servicios o comisión</t>
    </r>
  </si>
  <si>
    <r>
      <t xml:space="preserve">El aviso a que se refiere este artículo, </t>
    </r>
    <r>
      <rPr>
        <sz val="10"/>
        <color rgb="FFFF0000"/>
        <rFont val="Montserrat"/>
      </rPr>
      <t>deberá precisar el proceso operativo o de administración de bases de datos y sistemas informáticos</t>
    </r>
    <r>
      <rPr>
        <sz val="10"/>
        <color theme="1"/>
        <rFont val="Montserrat"/>
      </rPr>
      <t xml:space="preserve"> objeto de los servicios o comisiones de que se trata y entregarse a la Comisión con una anticipación de por lo menos veinte días hábiles a la fecha en que pretendan contratar dichos servicios o comisiones.</t>
    </r>
  </si>
  <si>
    <r>
      <rPr>
        <sz val="10"/>
        <rFont val="Montserrat"/>
      </rPr>
      <t xml:space="preserve">En caso de que los servicios o comisiones a contratar se refieran a la utilización de infraestructura tecnológica o de telecomunicaciones, </t>
    </r>
    <r>
      <rPr>
        <sz val="10"/>
        <color rgb="FFFF0000"/>
        <rFont val="Montserrat"/>
      </rPr>
      <t>el aviso deberá contener adicionalmente un informe técnico que especifique el tipo de operaciones o servicios bancarios que habrán de celebrarse utilizando la base tecnológica</t>
    </r>
    <r>
      <rPr>
        <sz val="10"/>
        <rFont val="Montserrat"/>
      </rPr>
      <t xml:space="preserve"> que le sea proveída por terceros o comisionistas, </t>
    </r>
    <r>
      <rPr>
        <sz val="10"/>
        <color rgb="FFFF0000"/>
        <rFont val="Montserrat"/>
      </rPr>
      <t>así como la forma en que se dará cumplimiento a los lineamientos mínimos de operación y seguridad</t>
    </r>
    <r>
      <rPr>
        <sz val="10"/>
        <rFont val="Montserrat"/>
      </rPr>
      <t xml:space="preserve">, que se señalan en el </t>
    </r>
    <r>
      <rPr>
        <u/>
        <sz val="10"/>
        <color theme="10"/>
        <rFont val="Montserrat"/>
      </rPr>
      <t>Anexo 52</t>
    </r>
    <r>
      <rPr>
        <sz val="10"/>
        <rFont val="Montserrat"/>
      </rPr>
      <t xml:space="preserve"> de las presentes disposiciones.</t>
    </r>
  </si>
  <si>
    <r>
      <t>Las Instituciones que tengan el carácter de filiales podrán contratar servicios con la institución financiera del exterior que las controle, o bien, con las subsidiarias o empresas relacionadas a esta última, cuando dichas contrataciones tengan por objeto la realización de los procesos a que se refiere la Sección Tercera del presente Capítulo XI de este Título Quinto de estas disposiciones. En este supuesto, las Instituciones filiales no se sujetarán a lo dispuesto en las fracciones II, III en su inciso b), IV a VII, anteriores, siempre que la Institución filial de que se trate</t>
    </r>
    <r>
      <rPr>
        <sz val="10"/>
        <color rgb="FFFF0000"/>
        <rFont val="Montserrat"/>
      </rPr>
      <t xml:space="preserve"> manifieste que se ajusta a las políticas y lineamientos que al respecto tenga establecida la referida institución financiera del exterior;</t>
    </r>
    <r>
      <rPr>
        <sz val="10"/>
        <color theme="1"/>
        <rFont val="Montserrat"/>
      </rPr>
      <t xml:space="preserve"> se cercioró que tales políticas y lineamientos prevén los aspectos a que el presente artículo se refiere, y tiene acceso a las evaluaciones y resultados de las auditorías que realice la citada institución financiera del exterior. Igual supuesto resultará aplicable para el caso de servicios que un tercero provea tanto a la institución financiera del exterior como a la filial.</t>
    </r>
  </si>
  <si>
    <r>
      <t xml:space="preserve">En caso de que los servicios o comisiones a contratar se refieran a la utilización de infraestructura tecnológica o de telecomunicaciones, </t>
    </r>
    <r>
      <rPr>
        <sz val="10"/>
        <color rgb="FFFF0000"/>
        <rFont val="Montserrat"/>
      </rPr>
      <t xml:space="preserve">el aviso deberá contener adicionalmente un informe técnico que especifique el tipo de operaciones o servicios bancarios que habrán de celebrarse utilizando la base tecnológica </t>
    </r>
    <r>
      <rPr>
        <sz val="10"/>
        <color theme="1"/>
        <rFont val="Montserrat"/>
      </rPr>
      <t xml:space="preserve">que le sea proveída por terceros o comisionistas, </t>
    </r>
    <r>
      <rPr>
        <sz val="10"/>
        <color rgb="FFFF0000"/>
        <rFont val="Montserrat"/>
      </rPr>
      <t>así como la forma en que se dará cumplimiento a los lineamientos mínimos de operación y seguridad</t>
    </r>
    <r>
      <rPr>
        <sz val="10"/>
        <color theme="1"/>
        <rFont val="Montserrat"/>
      </rPr>
      <t xml:space="preserve">, que se señalan en el </t>
    </r>
    <r>
      <rPr>
        <u/>
        <sz val="10"/>
        <color rgb="FF0070C0"/>
        <rFont val="Montserrat"/>
      </rPr>
      <t>Anexo 52</t>
    </r>
    <r>
      <rPr>
        <sz val="10"/>
        <color theme="1"/>
        <rFont val="Montserrat"/>
      </rPr>
      <t xml:space="preserve"> de las presentes disposiciones.</t>
    </r>
  </si>
  <si>
    <t xml:space="preserve">                     Evaluación de las atribuciones conferidas a la DGSGIF F en el artículo 21, fracción III del Reglamento interior de la Comisión Nacional Bancaria y de Valores.</t>
  </si>
  <si>
    <t>Sección 2. Aspectos administrativos y/u operativos</t>
  </si>
  <si>
    <t>Sección 2</t>
  </si>
  <si>
    <t>Sección 3. Aspecto económico</t>
  </si>
  <si>
    <t>¿Qué costo tiene el servicio? 
Específicar la unidad monetaria.</t>
  </si>
  <si>
    <t>Sección 3</t>
  </si>
  <si>
    <t>¿Qué periodicidad tiene el pago del servicio?</t>
  </si>
  <si>
    <t>¿Qué cubre el costo del servicio?</t>
  </si>
  <si>
    <t>¿Cuál es el método de pago?</t>
  </si>
  <si>
    <t>¿Existen pagos contingentes? 
Específicar cuales se consideran.</t>
  </si>
  <si>
    <t>¿Cuáles son las penalizaciones a las que están sujetas las partes?</t>
  </si>
  <si>
    <t>Sección 4. Aspecto financiero</t>
  </si>
  <si>
    <t>Selecciona el tipo de operación del artículo 46 de la LIC que está ligado el servicio:</t>
  </si>
  <si>
    <r>
      <t xml:space="preserve">Si el servicio no está asociado a ninguna operación del artículo 46 de la LIC </t>
    </r>
    <r>
      <rPr>
        <b/>
        <sz val="11"/>
        <color theme="1"/>
        <rFont val="Montserrat"/>
      </rPr>
      <t>no aplica</t>
    </r>
    <r>
      <rPr>
        <sz val="11"/>
        <color theme="1"/>
        <rFont val="Montserrat"/>
      </rPr>
      <t xml:space="preserve"> está sección.</t>
    </r>
  </si>
  <si>
    <t>¿Qué tipo de operación es?
(Activa, pasiva o fuera del balance)</t>
  </si>
  <si>
    <t>Sección 4</t>
  </si>
  <si>
    <t>¿Cuál es la(s) cuenta(s) contable afectada?</t>
  </si>
  <si>
    <t>¿Cuál es el registro contable?</t>
  </si>
  <si>
    <t>Hoja de evaluación</t>
  </si>
  <si>
    <t>Cumplimiento regulatorio Cápitulo XI de la CUB</t>
  </si>
  <si>
    <t>Número</t>
  </si>
  <si>
    <t>Evaluación de las atribuciones conferidas a la DGSGIF F</t>
  </si>
  <si>
    <t>Sección Primera:
Requerimientos aplicables</t>
  </si>
  <si>
    <t>Sección 2. 
Aspectos administrativos y/u operativos</t>
  </si>
  <si>
    <t>Sección Tercera:
Requerimientos aplicables</t>
  </si>
  <si>
    <t>Sección 3. 
Aspecto económico</t>
  </si>
  <si>
    <t>Sección 4. 
Aspecto financiero</t>
  </si>
  <si>
    <t>Grado de completitud Seccion Primera</t>
  </si>
  <si>
    <t>Grado de completitud Seccion Tercera</t>
  </si>
  <si>
    <t>Calificación Global CUB</t>
  </si>
  <si>
    <t>Grado de completitud Sección 2</t>
  </si>
  <si>
    <t>Grado de completitud Sección 3</t>
  </si>
  <si>
    <t>Grado de completitud Sección 4</t>
  </si>
  <si>
    <t>Grado de completitud global</t>
  </si>
  <si>
    <t>Nivel de completitud global</t>
  </si>
  <si>
    <t>Observaciones Capítulo XI CUB</t>
  </si>
  <si>
    <t>Observaciones Atribuciones conferidas a la DGSGIF F</t>
  </si>
  <si>
    <r>
      <t xml:space="preserve">Registro de datos
</t>
    </r>
    <r>
      <rPr>
        <sz val="11"/>
        <color theme="1"/>
        <rFont val="Montserrat"/>
      </rPr>
      <t>Corrobora que los datos sean correctos</t>
    </r>
  </si>
  <si>
    <t>10 DIGITOS</t>
  </si>
  <si>
    <t>Hoja de evaluación de excepciones</t>
  </si>
  <si>
    <t>Observaciones Capitulo XI CUB</t>
  </si>
  <si>
    <t>Evaluación del Art 72 de la CUIFE</t>
  </si>
  <si>
    <t>Cumplimiento regulatorio Art. 72 de la CUIFE</t>
  </si>
  <si>
    <t>Observaciones Art. 72</t>
  </si>
  <si>
    <t>a</t>
  </si>
  <si>
    <t>45801-2023</t>
  </si>
  <si>
    <r>
      <rPr>
        <b/>
        <sz val="10"/>
        <color theme="1"/>
        <rFont val="Montserrat"/>
      </rPr>
      <t>Anexo G</t>
    </r>
    <r>
      <rPr>
        <sz val="10"/>
        <color theme="1"/>
        <rFont val="Montserrat"/>
      </rPr>
      <t xml:space="preserve"> "3.1.23.2.7.1 Formato de requerimientos de seguridad de la información - Voice Service Trading Floor"
</t>
    </r>
    <r>
      <rPr>
        <b/>
        <sz val="10"/>
        <color theme="1"/>
        <rFont val="Montserrat"/>
      </rPr>
      <t>Anexo C</t>
    </r>
    <r>
      <rPr>
        <sz val="10"/>
        <color theme="1"/>
        <rFont val="Montserrat"/>
      </rPr>
      <t xml:space="preserve"> "3.1.23.2.3.1 Informe de Servicios - Voice Services Trading Floor"</t>
    </r>
  </si>
  <si>
    <t>2
1</t>
  </si>
  <si>
    <t>1
1</t>
  </si>
  <si>
    <r>
      <rPr>
        <b/>
        <sz val="11"/>
        <color theme="1"/>
        <rFont val="Montserrat"/>
      </rPr>
      <t xml:space="preserve">Anexo C </t>
    </r>
    <r>
      <rPr>
        <sz val="11"/>
        <color theme="1"/>
        <rFont val="Montserrat"/>
      </rPr>
      <t>"3.1.23.2.3.1 Informe de Servicios - Voice Services Trading Floor"</t>
    </r>
  </si>
  <si>
    <t>Piso financiero (Trading Floor): lugar donde se encuentran los ejecutivos del piso financiero que atienden las llamadas de los clientes y donde se realizan las transacciones solicitadas.</t>
  </si>
  <si>
    <r>
      <rPr>
        <b/>
        <sz val="11"/>
        <color theme="1"/>
        <rFont val="Montserrat"/>
      </rPr>
      <t>Anexo C</t>
    </r>
    <r>
      <rPr>
        <sz val="11"/>
        <color theme="1"/>
        <rFont val="Montserrat"/>
      </rPr>
      <t xml:space="preserve"> "3.1.23.2.3.1 Informe de Servicios - Voice Services Trading Floor" y
</t>
    </r>
    <r>
      <rPr>
        <b/>
        <sz val="11"/>
        <color theme="1"/>
        <rFont val="Montserrat"/>
      </rPr>
      <t>Anexo D</t>
    </r>
    <r>
      <rPr>
        <sz val="11"/>
        <color theme="1"/>
        <rFont val="Montserrat"/>
      </rPr>
      <t xml:space="preserve"> "3.1.23.2.4.1 Informe Técnico - Voice Services Trading Floor"</t>
    </r>
  </si>
  <si>
    <t>La documentación proporcionada no señala un producto en especifico en donde se aplicará el servicio, sin embargo, los informes de servicios y técnico,  señalan que el servicio que prestará el proveedor a los ejecutivos del piso financiero (Trading Floor) soportan los siguientes procesos: "La grabación y el almacenamiento final de llamadas es usada por el negocio como medio de respaldo de las instrucciones y aprobaciones realizadas por parte de los clientes externos de Citibanamex para realizar algún tipo de transacción monetaria."
Por lo anterior, se solicitará a Banamex que especifique a que producto o productos les aplicará el servicio.</t>
  </si>
  <si>
    <r>
      <t xml:space="preserve">La documentación proporcionada no señala un producto en especifico en donde se aplicará el servicio, sin embargo, los informes de servicios y técnico,  señalan que el servicio que prestará el proveedor a los ejecutivos del piso financiero (Trading Floor) soportan los siguientes procesos: "La grabación y el almacenamiento final de llamadas es usada por el negocio como medio de respaldo de las instrucciones y aprobaciones realizadas por parte de los clientes externos de Citibanamex para realizar algún tipo de transacción monetaria."
</t>
    </r>
    <r>
      <rPr>
        <b/>
        <sz val="10"/>
        <color theme="1"/>
        <rFont val="Montserrat"/>
      </rPr>
      <t>Por lo anterior, se solicitará a Banamex que especifique a que producto o productos les aplicará el servicio.</t>
    </r>
  </si>
  <si>
    <t>2 y 8
2 y 10</t>
  </si>
  <si>
    <r>
      <rPr>
        <b/>
        <sz val="11"/>
        <color theme="1"/>
        <rFont val="Montserrat"/>
      </rPr>
      <t>Anexo C</t>
    </r>
    <r>
      <rPr>
        <sz val="11"/>
        <color theme="1"/>
        <rFont val="Montserrat"/>
      </rPr>
      <t xml:space="preserve"> "3.1.23.2.3.1 Informe de Servicios - Voice Services Trading Floor"</t>
    </r>
  </si>
  <si>
    <t>El Informe de Servicios especifica la información general para la contratación de los servicios, asi como los procesos operativos o de administración de bases de datos y sistemas informáticos objeto de los servicios a contratar. Asimismo, el Informe Técnico especifica las caracteristicas técnicas del servicio a contratar.</t>
  </si>
  <si>
    <t>1 y 8
2 y 6</t>
  </si>
  <si>
    <r>
      <rPr>
        <b/>
        <sz val="11"/>
        <color theme="1"/>
        <rFont val="Montserrat"/>
      </rPr>
      <t>Anexo E</t>
    </r>
    <r>
      <rPr>
        <sz val="11"/>
        <color theme="1"/>
        <rFont val="Montserrat"/>
      </rPr>
      <t xml:space="preserve"> "3.1.23.2.5.2 PPT Comité de Riesgos - Voice Service Trading Floor"</t>
    </r>
  </si>
  <si>
    <r>
      <t xml:space="preserve">La presentación que forma parte del </t>
    </r>
    <r>
      <rPr>
        <b/>
        <sz val="11"/>
        <color theme="1"/>
        <rFont val="Montserrat"/>
      </rPr>
      <t>Anexo E</t>
    </r>
    <r>
      <rPr>
        <sz val="11"/>
        <color theme="1"/>
        <rFont val="Montserrat"/>
      </rPr>
      <t>, la cual fue presentada al Cómite de Riesgos para su autorización, señala la posibilidad de contratar a un tercero que supla en caso de ser necesario el servicio proporcionado por Citibank N.A., tardaría al menos de 9 a 12 meses para contratar un nuevo proveedor externo para estos servicios.</t>
    </r>
  </si>
  <si>
    <t xml:space="preserve">II. Señalar el plazo que requeriría Banamex para reemplazar el servicio contratado.
III. Describir las medidas que prevé Banamex para, en su caso, reemplazar el servicio y señalar los costos que implicarían en caso de no ser reemplazable el servicio. </t>
  </si>
  <si>
    <t>No se identifican los costos de los servicios comtratados</t>
  </si>
  <si>
    <t>IV. Indicar el costo que tiene el servicio a contratar.</t>
  </si>
  <si>
    <t>SECCIÓN III. PAGO</t>
  </si>
  <si>
    <t>El ICSA señala que la frecuencia (de liquidación en efectivo) es: Mensual</t>
  </si>
  <si>
    <r>
      <rPr>
        <b/>
        <sz val="11"/>
        <color theme="1"/>
        <rFont val="Montserrat"/>
      </rPr>
      <t>Anexo K</t>
    </r>
    <r>
      <rPr>
        <sz val="11"/>
        <color theme="1"/>
        <rFont val="Montserrat"/>
      </rPr>
      <t xml:space="preserve"> "3.1.23.2.11.4 ICSA (ESP) - Voice Service Trading Floor"</t>
    </r>
  </si>
  <si>
    <t>1 a 3</t>
  </si>
  <si>
    <t>SECCIÓN II. SERVICIOS Y NIVELES CUBIERTOS EN EL ICsA</t>
  </si>
  <si>
    <r>
      <t xml:space="preserve">El ICSA señala la descripción del servicio que prestara: </t>
    </r>
    <r>
      <rPr>
        <i/>
        <sz val="10"/>
        <color theme="1"/>
        <rFont val="Montserrat"/>
      </rPr>
      <t>Proporciona soluciones de voz para clientes internos y externos, que pueden incluir las siguientes actividades: Telefonía: proporciona un servicio de telefonía albergado internamente que pueden utilizar los usuarios para hacer llamadas internas y externas a través de varios dispositivos. 
Grabación de voz: graba conversaciones entre el personal de Citi y clientes externos para cumplir con los requisitos regulatorios y se usa como una herramienta de capacitación pare mejorar los tiempos de respuesta y las interacciones con los clientes. 
Respuesta interactiva de voz (IVR): proporciona capacidades automatizadas e interactivas de respuesta de voz para administrar las llamadas y el enrutamiento de llamadas a apoyo a clientes o centros de servicio. 
Nota: - La entrega del servicio puede incluir, de manera enunciativa mas no limitativa, la administración de:
seguridad, capacidad, ingeniería, monitorización del desempeño y disponibilidad de la red y sistemas, centro de ayuda técnica, resolución de problemas, incidentes y administración de cambio.</t>
    </r>
  </si>
  <si>
    <t>El ICSA señala que el método de pago  es:  en efectivo en USD</t>
  </si>
  <si>
    <t>No se identifica si existen pagos contingentes</t>
  </si>
  <si>
    <t>V. Señalar si existen pagos contingentes y, en su caso, especificar cuáles se consideran.</t>
  </si>
  <si>
    <r>
      <rPr>
        <b/>
        <sz val="11"/>
        <color theme="1"/>
        <rFont val="Montserrat"/>
      </rPr>
      <t>Anexo J</t>
    </r>
    <r>
      <rPr>
        <sz val="11"/>
        <color theme="1"/>
        <rFont val="Montserrat"/>
      </rPr>
      <t xml:space="preserve"> "3.1.23.2.10.2 General Terms and Conditions (GTC) - SV"</t>
    </r>
  </si>
  <si>
    <r>
      <t>Los Términos y Condiciones Generales para Servicios Internos de Citi (GTC) aprobados por Citigroup Inc. (Citi) para proporcionar el marco contractual para transacciones comerciales cuando las Filiales  del grupo de vehículos legales de Citi prestan servicios a cualquier otra Filial dentro del grupo de vehículos legales de Citi, establece en la sección 5. TARIFAS Y GASTOS, numeral 5.7 y 5.8, que:
"</t>
    </r>
    <r>
      <rPr>
        <i/>
        <sz val="11"/>
        <color theme="1"/>
        <rFont val="Montserrat"/>
      </rPr>
      <t>A menos que se acepte lo contrario en un ICSA, todas las tarifas se pagarán cuando se registren mediante el APS de Citi (Sistema de Procesamiento de Asignaciones) cada mes a través del proceso de liquidación de efectivo al Receptor de Servicios. Sin limitación a ninguna otra obligación del Receptor de Servicios en estos 
GTC, en caso de que el Proveedor de Servicios sea tratado como un “banco” o como una “subsidiaria de un banco” para propósitos de la Sección 23A de la Ley de la Reserva Federal de Estados Unidos, el Receptor de Servicios reconoce que es imperativo que haga el pago oportuno (en 30 días de los términos de pago acordados) de las tarifas adeudadas."</t>
    </r>
    <r>
      <rPr>
        <sz val="11"/>
        <color theme="1"/>
        <rFont val="Montserrat"/>
      </rPr>
      <t xml:space="preserve">
"</t>
    </r>
    <r>
      <rPr>
        <i/>
        <sz val="11"/>
        <color theme="1"/>
        <rFont val="Montserrat"/>
      </rPr>
      <t>Con respecto a los Servicios que se proporcionen a un Receptor de Servicios que se localice en un país de la Unión Europea, se aplicarán los siguientes términos en relación con el pago:
Si el pago de cualquier tarifa no refutada por Servicios es tardío, mediante notificación 
al Receptor de Servicios, el Proveedor de Servicios se reserva el derecho de:
a) Cobrar intereses diariamente en el saldo insoluto, a la tasa de 2% anual de la tasa base del Banco de Inglaterra y
b) Sujeto a la Sección 5.9, suspender los Servicios después de 30 (treinta) días de envío de notificación por escrito (después de que los 30 (treinta) días pertinentes del período de pago hayan vencido) y el Receptor de Servicios no haya hecho el pago dentro de ese período. Mediante el pago por el Receptor de Servicios, el 
Proveedor de Servicios reanudará la provisión de los Servicios en cuando sea razonablemente posible. El costo (si lo hubiere) por la reanudación de los Servicios será el que se establece en los términos y condiciones aplicables para dichos Servicios</t>
    </r>
    <r>
      <rPr>
        <sz val="11"/>
        <color theme="1"/>
        <rFont val="Montserrat"/>
      </rPr>
      <t>."
Por lo antes descrito, se aprecia que los GTC sólo consideran penalizaciones para paises de la Unión Europea, y en su caso, para cualquier otro país si así lo determina el ICSA celebrado por las partes. En ese sentido, no se identifica que Banamex y Citibank, N.A. esten expuestos a penalizaciones.</t>
    </r>
  </si>
  <si>
    <t>5.7 y 5.8</t>
  </si>
  <si>
    <t>E00105645801-2023</t>
  </si>
  <si>
    <t>6/6/2023</t>
  </si>
  <si>
    <t>La presentación que forma parte del Anexo E, la cual fue presentada al Cómite de Riesgos para su autorización, señala la posibilidad de contratar a un tercero que supla en caso de ser necesario el servicio proporcionado por Citibank N.A., tardaría al menos de 9 a 12 meses para contratar un nuevo proveedor externo para estos servicios.</t>
  </si>
  <si>
    <t>1. Grabación de llamadas y almacenamiento para el grupo de ejecutivos del piso financiero (Trading Floor).
Proporcionar el servicio de grabación de llamadas telefónicas para el grupo de ejecutivos del piso financiero (Trading Floor) así como el soporte y almacenamiento de estas grabaciones a largo tiempo.</t>
  </si>
  <si>
    <t>Especificar el negocio, producto y áreas en donde aplicará el servicio contratado.</t>
  </si>
  <si>
    <t xml:space="preserve">Sección 2-Negocio en donde se aplica el servicio:-Especificar el negocio, producto y áreas en donde aplicará el servicio contratado._x000D_
Sección 2-Producto en donde se aplica el servicio:-Especificar el negocio, producto y áreas en donde aplicará el servicio contratado._x000D_
Sección 2-Áreas involucradas en el servicio:-Especificar el negocio, producto y áreas en donde aplicará el servicio contratado._x000D_
-Continuidad operativa:
i)     Plazo para reestablecer  o reemplazar el servicio.
ii)   Medidas para reemplazar el servico.
iii)  Costos en caso de no ser reemplazable el servico.-II. Señalar el plazo que requeriría Banamex para reemplazar el servicio contratado.
III. Describir las medidas que prevé Banamex para, en su caso, reemplazar el servicio y señalar los costos que implicarían en caso de no ser reemplazable el servicio. _x000D_
Sección 3-¿Qué costo tiene el servicio? 
Específicar la unidad monetaria.-IV. Indicar el costo que tiene el servicio a contratar._x000D_
Sección 3-¿Existen pagos contingentes? 
Específicar cuales se consideran.-V. Señalar si existen pagos contingentes y, en su caso, especificar cuáles se consideran._x000D_
</t>
  </si>
  <si>
    <t>53449-2023</t>
  </si>
  <si>
    <t>131_2535313_2022(Solicitud Autorización_ eDealer) Citibanamex Alcance</t>
  </si>
  <si>
    <r>
      <rPr>
        <b/>
        <sz val="10"/>
        <color theme="1"/>
        <rFont val="Montserrat"/>
      </rPr>
      <t>Anexo H</t>
    </r>
    <r>
      <rPr>
        <sz val="10"/>
        <color theme="1"/>
        <rFont val="Montserrat"/>
      </rPr>
      <t xml:space="preserve"> - Politica de Contratación de Proveedores</t>
    </r>
  </si>
  <si>
    <r>
      <t>Banamex expone que : "</t>
    </r>
    <r>
      <rPr>
        <i/>
        <sz val="10"/>
        <color theme="1"/>
        <rFont val="Montserrat"/>
      </rPr>
      <t xml:space="preserve">Guardar confidencialidad respecto de la información a la que se tenga acceso por  la prestación del servicio o comisión, debiendo, además, establecer las medidas  necesarias para mantener la seguridad de las operaciones y proteger la  información de los clientes" </t>
    </r>
    <r>
      <rPr>
        <b/>
        <i/>
        <sz val="10"/>
        <color theme="1"/>
        <rFont val="Montserrat"/>
      </rPr>
      <t>Anexo H</t>
    </r>
    <r>
      <rPr>
        <i/>
        <sz val="10"/>
        <color theme="1"/>
        <rFont val="Montserrat"/>
      </rPr>
      <t xml:space="preserve">. </t>
    </r>
  </si>
  <si>
    <r>
      <rPr>
        <b/>
        <sz val="10"/>
        <color theme="1"/>
        <rFont val="Montserrat"/>
      </rPr>
      <t xml:space="preserve">Anexo C </t>
    </r>
    <r>
      <rPr>
        <sz val="10"/>
        <color theme="1"/>
        <rFont val="Montserrat"/>
      </rPr>
      <t>- Informe tecnico - eDealer</t>
    </r>
  </si>
  <si>
    <r>
      <t>Banamex manisfiesta que : "</t>
    </r>
    <r>
      <rPr>
        <i/>
        <sz val="10"/>
        <color theme="1"/>
        <rFont val="Montserrat"/>
      </rPr>
      <t>que mantendrá en sus oficinas principales ubicadas en los Estados Unidos Mexicanos, en idioma español, la documentación e información relativa a las evaluaciones, resultados de auditorías y reportes de desempeño del Proveedor".</t>
    </r>
  </si>
  <si>
    <r>
      <t xml:space="preserve">Mediante  el 23 de junio de 2023 , Manuel Antonio Romo Villafuerte Director General de Banamex solicita autorización  para la contrataión del proveedor "Citibank, N.A." para la prestación del servicio de soporte técnico, infraestructura y almacenaciemnto de la informacin en relacion con </t>
    </r>
    <r>
      <rPr>
        <b/>
        <sz val="10"/>
        <color theme="1"/>
        <rFont val="Montserrat"/>
      </rPr>
      <t>eDealer FI y eDealer FX</t>
    </r>
    <r>
      <rPr>
        <sz val="10"/>
        <color theme="1"/>
        <rFont val="Montserrat"/>
      </rPr>
      <t xml:space="preserve"> ,</t>
    </r>
    <r>
      <rPr>
        <u/>
        <sz val="10"/>
        <color theme="1"/>
        <rFont val="Montserrat"/>
      </rPr>
      <t xml:space="preserve"> dicha  autorización se remitió a la VP encargada de la supervisión, quien en coordinación con la  DGASF, DGSROT y DGSSI otorgarán, en su caso, la autorización.</t>
    </r>
  </si>
  <si>
    <r>
      <t xml:space="preserve">131_2535313_2022(Solicitud Autorización_ eDealer) Citibanamex </t>
    </r>
    <r>
      <rPr>
        <sz val="10"/>
        <color theme="1"/>
        <rFont val="Montserrat"/>
      </rPr>
      <t>Alcance  Anexo D - Certificación del Comité de Riesgos - eDealer</t>
    </r>
  </si>
  <si>
    <t>Anexo D - PPT Comité de Riesgos - eDealer</t>
  </si>
  <si>
    <t>a)</t>
  </si>
  <si>
    <t>b)</t>
  </si>
  <si>
    <t>c)</t>
  </si>
  <si>
    <t>d)</t>
  </si>
  <si>
    <t>b</t>
  </si>
  <si>
    <r>
      <t xml:space="preserve">Banamex hace manifestar mediante el </t>
    </r>
    <r>
      <rPr>
        <b/>
        <sz val="10"/>
        <color theme="1"/>
        <rFont val="Montserrat"/>
      </rPr>
      <t>Anexo D</t>
    </r>
    <r>
      <rPr>
        <sz val="10"/>
        <color theme="1"/>
        <rFont val="Montserrat"/>
      </rPr>
      <t xml:space="preserve"> que el Comité de Riesgos certifica y aprueba  que : </t>
    </r>
    <r>
      <rPr>
        <i/>
        <sz val="10"/>
        <color theme="1"/>
        <rFont val="Montserrat"/>
      </rPr>
      <t>i)No se pone en riesgo el cumplimiento de las disposiciones aplicables a Citibanamex. ii) Las prácticas de negocio del proveedor son consistentes con la operación de la Institución iii) No habrá impacto en la estabilidad financiera o continuidad operativa de la institución, con motivo  de la distancia geográfica y el lenguaje utilizado en la prestación del servicio iv) Se cuenta con la evaluación del impacto que la contratación a que se refiere el Capitulo XI pudiera  tener cualitativa o cuantitativamente en las operaciones que realice Citibanamex, conforme a su objeto, tomando en cuenta para ello, los aspectos a que se refiere el artículo 318, fracción VII, incisos a) al e) de las Disposiciones.</t>
    </r>
  </si>
  <si>
    <r>
      <t xml:space="preserve">131_2535313_2022(Solicitud Autorización_ eDealer)    Citibanamex           </t>
    </r>
    <r>
      <rPr>
        <b/>
        <sz val="10"/>
        <color theme="1"/>
        <rFont val="Montserrat"/>
      </rPr>
      <t>AlcanceAnexo I - ADR - eDealer Anexo I - ICSA-00145-2022 SV - eDealer          Anexo J - General Terms and Conditions (GTC) - SV</t>
    </r>
    <r>
      <rPr>
        <sz val="10"/>
        <color theme="1"/>
        <rFont val="Montserrat"/>
      </rPr>
      <t xml:space="preserve">                             </t>
    </r>
    <r>
      <rPr>
        <b/>
        <sz val="10"/>
        <color theme="1"/>
        <rFont val="Montserrat"/>
      </rPr>
      <t>Anexo K - Anexo País - SP</t>
    </r>
  </si>
  <si>
    <r>
      <t xml:space="preserve">Banamex  conforme a las disposiciones selañala, que al menos la documentacion e infromacion relativa a las evaluaciones, resultados de auditorías y resportes de desempeño, asimismo cuando la Comisón lo requiera se proporcionaran en idioma español, ademas  manifiesta que adjunto la traduccion al idioma español los </t>
    </r>
    <r>
      <rPr>
        <b/>
        <sz val="10"/>
        <color theme="1"/>
        <rFont val="Montserrat"/>
      </rPr>
      <t>Anexos I , J , K.</t>
    </r>
    <r>
      <rPr>
        <sz val="10"/>
        <color theme="1"/>
        <rFont val="Montserrat"/>
      </rPr>
      <t xml:space="preserve"> </t>
    </r>
  </si>
  <si>
    <t xml:space="preserve">Director General de Banamex Manuel Antonio Romo Villafuerte, suscribio el 19 de junio de 2023 </t>
  </si>
  <si>
    <t>Anexo C - Informe tecnico - eDealer</t>
  </si>
  <si>
    <t>3, 12 y 15</t>
  </si>
  <si>
    <t>Banamex envio el informe tecnico en el cual detalla  el seguimiento de los lineamientos minimos de operación, seguridad, auditoría y supervisión  previstos en el Anexo 52.</t>
  </si>
  <si>
    <t>Formato de Manifestación de Ajuste a Políticas y Lineamientos de Filiales - eDeale</t>
  </si>
  <si>
    <t>a)         1</t>
  </si>
  <si>
    <r>
      <t xml:space="preserve">Banamex prevee </t>
    </r>
    <r>
      <rPr>
        <i/>
        <sz val="10"/>
        <color theme="1"/>
        <rFont val="Montserrat"/>
      </rPr>
      <t>visitas domiciliarias por parte del  auditor externo de la Institución, de la  Comisión o de los terceros que la propia  Comisión designe en términos de lo  dispuesto por el Artículo 46 Bis 1 y el  Artículo 117 de la Ley</t>
    </r>
  </si>
  <si>
    <t>a)         2</t>
  </si>
  <si>
    <r>
      <t xml:space="preserve">Banamex señala </t>
    </r>
    <r>
      <rPr>
        <i/>
        <sz val="10"/>
        <color theme="1"/>
        <rFont val="Montserrat"/>
      </rPr>
      <t>"Aceptar la realización de auditorías por  parte de la Institución, en relación con  los servicios o comisiones objeto de  dicho contrato"</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</si>
</sst>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34" x14ac:knownFonts="1">
    <font>
      <sz val="11"/>
      <color theme="1"/>
      <name val="Calibri"/>
      <family val="2"/>
      <scheme val="minor"/>
    </font>
    <font>
      <sz val="10"/>
      <color theme="1"/>
      <name val="Montserrat"/>
    </font>
    <font>
      <sz val="11"/>
      <color theme="1"/>
      <name val="Calibri"/>
      <family val="2"/>
      <scheme val="minor"/>
    </font>
    <font>
      <b/>
      <sz val="10"/>
      <color theme="0"/>
      <name val="Montserrat SemiBold"/>
    </font>
    <font>
      <b/>
      <sz val="10"/>
      <color theme="1"/>
      <name val="Montserrat SemiBold"/>
    </font>
    <font>
      <sz val="10"/>
      <color rgb="FFFF0000"/>
      <name val="Montserrat"/>
    </font>
    <font>
      <sz val="10"/>
      <name val="Montserrat"/>
    </font>
    <font>
      <u/>
      <sz val="11"/>
      <color theme="10"/>
      <name val="Calibri"/>
      <family val="2"/>
      <scheme val="minor"/>
    </font>
    <font>
      <sz val="8"/>
      <name val="Calibri"/>
      <family val="2"/>
      <scheme val="minor"/>
    </font>
    <font>
      <u/>
      <sz val="10"/>
      <color rgb="FF0070C0"/>
      <name val="Montserrat"/>
    </font>
    <font>
      <u/>
      <sz val="10"/>
      <color theme="10"/>
      <name val="Montserrat"/>
    </font>
    <font>
      <sz val="16"/>
      <color theme="1"/>
      <name val="Montserrat Black"/>
    </font>
    <font>
      <b/>
      <sz val="15"/>
      <color theme="3"/>
      <name val="Calibri"/>
      <family val="2"/>
      <scheme val="minor"/>
    </font>
    <font>
      <sz val="11"/>
      <color theme="1"/>
      <name val="Montserrat"/>
    </font>
    <font>
      <b/>
      <sz val="11"/>
      <color theme="3"/>
      <name val="Calibri"/>
      <family val="2"/>
      <scheme val="minor"/>
    </font>
    <font>
      <b/>
      <sz val="11"/>
      <color theme="3"/>
      <name val="Montserrat"/>
    </font>
    <font>
      <b/>
      <sz val="11"/>
      <color theme="1"/>
      <name val="Montserrat"/>
    </font>
    <font>
      <b/>
      <sz val="10"/>
      <color theme="1"/>
      <name val="Montserrat"/>
    </font>
    <font>
      <b/>
      <sz val="10"/>
      <color theme="0"/>
      <name val="Montserrat"/>
    </font>
    <font>
      <b/>
      <sz val="14"/>
      <color theme="1"/>
      <name val="Montserrat"/>
    </font>
    <font>
      <i/>
      <u/>
      <sz val="10"/>
      <color theme="1"/>
      <name val="Montserrat"/>
    </font>
    <font>
      <b/>
      <sz val="10"/>
      <color rgb="FFFF0000"/>
      <name val="Montserrat"/>
    </font>
    <font>
      <sz val="9"/>
      <color indexed="81"/>
      <name val="Tahoma"/>
      <family val="2"/>
    </font>
    <font>
      <b/>
      <sz val="10"/>
      <color rgb="FF800000"/>
      <name val="Montserrat"/>
    </font>
    <font>
      <b/>
      <sz val="10"/>
      <color theme="3"/>
      <name val="Montserrat"/>
    </font>
    <font>
      <b/>
      <sz val="9"/>
      <color indexed="81"/>
      <name val="Tahoma"/>
      <family val="2"/>
    </font>
    <font>
      <b/>
      <sz val="9"/>
      <color indexed="81"/>
      <name val="Montserrat"/>
    </font>
    <font>
      <sz val="10"/>
      <color rgb="FF000000"/>
      <name val="Montserrat"/>
    </font>
    <font>
      <i/>
      <sz val="10"/>
      <color theme="1"/>
      <name val="Montserrat"/>
    </font>
    <font>
      <b/>
      <i/>
      <sz val="10"/>
      <color theme="1"/>
      <name val="Montserrat"/>
    </font>
    <font>
      <i/>
      <sz val="11"/>
      <color theme="1"/>
      <name val="Montserrat"/>
    </font>
    <font>
      <u/>
      <sz val="10"/>
      <color theme="1"/>
      <name val="Montserrat"/>
    </font>
    <font>
      <sz val="10"/>
      <color rgb="FF000000"/>
      <name val="Calibri"/>
      <family val="2"/>
    </font>
    <font>
      <sz val="11"/>
      <color rgb="FF000000"/>
      <name val="Calibri"/>
      <family val="2"/>
    </font>
  </fonts>
  <fills count="7">
    <fill>
      <patternFill patternType="none"/>
    </fill>
    <fill>
      <patternFill patternType="gray125"/>
    </fill>
    <fill>
      <patternFill patternType="solid">
        <fgColor theme="0"/>
        <bgColor indexed="64"/>
      </patternFill>
    </fill>
    <fill>
      <patternFill patternType="solid">
        <fgColor rgb="FF31869B"/>
        <bgColor indexed="64"/>
      </patternFill>
    </fill>
    <fill>
      <patternFill patternType="solid">
        <fgColor theme="4" tint="0.79998168889431442"/>
        <bgColor indexed="64"/>
      </patternFill>
    </fill>
    <fill>
      <patternFill patternType="solid">
        <fgColor theme="1"/>
        <bgColor indexed="64"/>
      </patternFill>
    </fill>
    <fill>
      <patternFill patternType="solid">
        <fgColor rgb="FFFFFFFF"/>
        <bgColor rgb="FF000000"/>
      </patternFill>
    </fill>
  </fills>
  <borders count="4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right style="medium">
        <color indexed="64"/>
      </right>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bottom/>
      <diagonal/>
    </border>
    <border>
      <left style="medium">
        <color indexed="64"/>
      </left>
      <right style="thin">
        <color indexed="64"/>
      </right>
      <top style="thin">
        <color indexed="64"/>
      </top>
      <bottom/>
      <diagonal/>
    </border>
    <border>
      <left style="medium">
        <color indexed="64"/>
      </left>
      <right style="thin">
        <color indexed="64"/>
      </right>
      <top/>
      <bottom style="medium">
        <color indexed="64"/>
      </bottom>
      <diagonal/>
    </border>
    <border>
      <left/>
      <right style="thin">
        <color indexed="64"/>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thick">
        <color theme="4"/>
      </bottom>
      <diagonal/>
    </border>
    <border>
      <left style="thick">
        <color rgb="FF31869B"/>
      </left>
      <right/>
      <top style="thick">
        <color rgb="FF31869B"/>
      </top>
      <bottom/>
      <diagonal/>
    </border>
    <border>
      <left/>
      <right/>
      <top style="thick">
        <color rgb="FF31869B"/>
      </top>
      <bottom/>
      <diagonal/>
    </border>
    <border>
      <left/>
      <right style="thick">
        <color rgb="FF31869B"/>
      </right>
      <top style="thick">
        <color rgb="FF31869B"/>
      </top>
      <bottom/>
      <diagonal/>
    </border>
    <border>
      <left style="thick">
        <color rgb="FF31869B"/>
      </left>
      <right/>
      <top/>
      <bottom/>
      <diagonal/>
    </border>
    <border>
      <left/>
      <right style="thick">
        <color rgb="FF31869B"/>
      </right>
      <top/>
      <bottom/>
      <diagonal/>
    </border>
    <border>
      <left style="thick">
        <color rgb="FF31869B"/>
      </left>
      <right/>
      <top/>
      <bottom style="thick">
        <color rgb="FF31869B"/>
      </bottom>
      <diagonal/>
    </border>
    <border>
      <left/>
      <right/>
      <top/>
      <bottom style="thick">
        <color rgb="FF31869B"/>
      </bottom>
      <diagonal/>
    </border>
    <border>
      <left/>
      <right style="thick">
        <color rgb="FF31869B"/>
      </right>
      <top/>
      <bottom style="thick">
        <color rgb="FF31869B"/>
      </bottom>
      <diagonal/>
    </border>
    <border>
      <left style="thin">
        <color indexed="64"/>
      </left>
      <right style="thick">
        <color rgb="FF31869B"/>
      </right>
      <top/>
      <bottom/>
      <diagonal/>
    </border>
    <border>
      <left style="thick">
        <color rgb="FF31869B"/>
      </left>
      <right style="thick">
        <color rgb="FF31869B"/>
      </right>
      <top style="thick">
        <color rgb="FF31869B"/>
      </top>
      <bottom style="thick">
        <color rgb="FF31869B"/>
      </bottom>
      <diagonal/>
    </border>
    <border>
      <left style="thick">
        <color rgb="FF31869B"/>
      </left>
      <right style="thick">
        <color rgb="FF31869B"/>
      </right>
      <top/>
      <bottom style="thick">
        <color rgb="FF31869B"/>
      </bottom>
      <diagonal/>
    </border>
    <border>
      <left style="thick">
        <color rgb="FF31869B"/>
      </left>
      <right style="thick">
        <color rgb="FF31869B"/>
      </right>
      <top style="thick">
        <color rgb="FF31869B"/>
      </top>
      <bottom/>
      <diagonal/>
    </border>
    <border>
      <left style="thick">
        <color rgb="FF31869B"/>
      </left>
      <right style="thick">
        <color rgb="FF31869B"/>
      </right>
      <top/>
      <bottom/>
      <diagonal/>
    </border>
    <border>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right style="thin">
        <color indexed="64"/>
      </right>
      <top/>
      <bottom style="medium">
        <color indexed="64"/>
      </bottom>
      <diagonal/>
    </border>
    <border>
      <left style="thin">
        <color indexed="64"/>
      </left>
      <right style="medium">
        <color indexed="64"/>
      </right>
      <top/>
      <bottom style="thin">
        <color indexed="64"/>
      </bottom>
      <diagonal/>
    </border>
    <border>
      <left style="thin">
        <color indexed="64"/>
      </left>
      <right style="medium">
        <color indexed="64"/>
      </right>
      <top/>
      <bottom/>
      <diagonal/>
    </border>
    <border>
      <left style="medium">
        <color indexed="64"/>
      </left>
      <right/>
      <top style="thin">
        <color indexed="64"/>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right style="medium">
        <color indexed="64"/>
      </right>
      <top style="thin">
        <color indexed="64"/>
      </top>
      <bottom/>
      <diagonal/>
    </border>
  </borders>
  <cellStyleXfs count="5">
    <xf numFmtId="0" fontId="0" fillId="0" borderId="0"/>
    <xf numFmtId="9" fontId="2" fillId="0" borderId="0" applyFont="0" applyFill="0" applyBorder="0" applyAlignment="0" applyProtection="0"/>
    <xf numFmtId="0" fontId="7" fillId="0" borderId="0" applyNumberFormat="0" applyFill="0" applyBorder="0" applyAlignment="0" applyProtection="0"/>
    <xf numFmtId="0" fontId="12" fillId="0" borderId="18" applyNumberFormat="0" applyFill="0" applyAlignment="0" applyProtection="0"/>
    <xf numFmtId="0" fontId="14" fillId="0" borderId="0" applyNumberFormat="0" applyFill="0" applyBorder="0" applyAlignment="0" applyProtection="0"/>
  </cellStyleXfs>
  <cellXfs count="177">
    <xf numFmtId="0" fontId="0" fillId="0" borderId="0" xfId="0"/>
    <xf numFmtId="0" fontId="1" fillId="2" borderId="1" xfId="0" applyFont="1" applyFill="1" applyBorder="1" applyAlignment="1">
      <alignment wrapText="1"/>
    </xf>
    <xf numFmtId="0" fontId="1" fillId="2" borderId="1" xfId="0" applyFont="1" applyFill="1" applyBorder="1" applyAlignment="1">
      <alignment horizontal="center" vertical="center"/>
    </xf>
    <xf numFmtId="0" fontId="0" fillId="2" borderId="0" xfId="0" applyFill="1"/>
    <xf numFmtId="0" fontId="0" fillId="2" borderId="1" xfId="0" applyFill="1" applyBorder="1"/>
    <xf numFmtId="0" fontId="1" fillId="2" borderId="2" xfId="0" applyFont="1" applyFill="1" applyBorder="1" applyAlignment="1">
      <alignment horizontal="center" vertical="center" wrapText="1"/>
    </xf>
    <xf numFmtId="0" fontId="0" fillId="2" borderId="0" xfId="0" applyFill="1" applyAlignment="1">
      <alignment wrapText="1"/>
    </xf>
    <xf numFmtId="0" fontId="1" fillId="2" borderId="1" xfId="0" applyFont="1" applyFill="1" applyBorder="1" applyAlignment="1">
      <alignment horizontal="center" vertical="center" wrapText="1"/>
    </xf>
    <xf numFmtId="0" fontId="3" fillId="3" borderId="1" xfId="0" applyFont="1" applyFill="1" applyBorder="1" applyAlignment="1">
      <alignment horizontal="center" vertical="center"/>
    </xf>
    <xf numFmtId="0" fontId="3" fillId="3" borderId="1" xfId="0" applyFont="1" applyFill="1" applyBorder="1" applyAlignment="1">
      <alignment horizontal="center" vertical="center" wrapText="1"/>
    </xf>
    <xf numFmtId="0" fontId="3" fillId="3" borderId="5" xfId="0" applyFont="1" applyFill="1" applyBorder="1"/>
    <xf numFmtId="0" fontId="3" fillId="3" borderId="6" xfId="0" applyFont="1" applyFill="1" applyBorder="1"/>
    <xf numFmtId="0" fontId="4" fillId="2" borderId="0" xfId="0" applyFont="1" applyFill="1"/>
    <xf numFmtId="9" fontId="0" fillId="0" borderId="0" xfId="1" applyFont="1"/>
    <xf numFmtId="0" fontId="1" fillId="0" borderId="2" xfId="0" applyFont="1" applyBorder="1" applyAlignment="1">
      <alignment horizontal="center" vertical="center" wrapText="1"/>
    </xf>
    <xf numFmtId="0" fontId="1" fillId="0" borderId="1" xfId="0" applyFont="1" applyBorder="1" applyAlignment="1">
      <alignment horizontal="center" vertical="center" wrapText="1"/>
    </xf>
    <xf numFmtId="0" fontId="1" fillId="5" borderId="1" xfId="0" applyFont="1" applyFill="1" applyBorder="1" applyAlignment="1">
      <alignment horizontal="center" vertical="center"/>
    </xf>
    <xf numFmtId="0" fontId="7" fillId="0" borderId="0" xfId="2"/>
    <xf numFmtId="14" fontId="0" fillId="0" borderId="0" xfId="0" applyNumberFormat="1"/>
    <xf numFmtId="0" fontId="1" fillId="4" borderId="12" xfId="0" applyFont="1" applyFill="1" applyBorder="1" applyAlignment="1">
      <alignment wrapText="1"/>
    </xf>
    <xf numFmtId="0" fontId="6" fillId="4" borderId="8" xfId="0" applyFont="1" applyFill="1" applyBorder="1"/>
    <xf numFmtId="0" fontId="1" fillId="2" borderId="0" xfId="0" applyFont="1" applyFill="1"/>
    <xf numFmtId="0" fontId="1" fillId="4" borderId="8" xfId="0" applyFont="1" applyFill="1" applyBorder="1"/>
    <xf numFmtId="0" fontId="1" fillId="2" borderId="12" xfId="0" applyFont="1" applyFill="1" applyBorder="1"/>
    <xf numFmtId="0" fontId="6" fillId="2" borderId="8" xfId="0" applyFont="1" applyFill="1" applyBorder="1"/>
    <xf numFmtId="0" fontId="1" fillId="2" borderId="8" xfId="0" applyFont="1" applyFill="1" applyBorder="1"/>
    <xf numFmtId="0" fontId="1" fillId="2" borderId="11" xfId="0" applyFont="1" applyFill="1" applyBorder="1"/>
    <xf numFmtId="0" fontId="6" fillId="2" borderId="10" xfId="0" applyFont="1" applyFill="1" applyBorder="1"/>
    <xf numFmtId="0" fontId="1" fillId="2" borderId="10" xfId="0" applyFont="1" applyFill="1" applyBorder="1"/>
    <xf numFmtId="0" fontId="1" fillId="2" borderId="13" xfId="0" applyFont="1" applyFill="1" applyBorder="1"/>
    <xf numFmtId="0" fontId="1" fillId="2" borderId="14" xfId="0" applyFont="1" applyFill="1" applyBorder="1"/>
    <xf numFmtId="0" fontId="1" fillId="2" borderId="9" xfId="0" applyFont="1" applyFill="1" applyBorder="1"/>
    <xf numFmtId="9" fontId="1" fillId="2" borderId="8" xfId="1" applyFont="1" applyFill="1" applyBorder="1"/>
    <xf numFmtId="0" fontId="3" fillId="3" borderId="16" xfId="0" applyFont="1" applyFill="1" applyBorder="1"/>
    <xf numFmtId="0" fontId="1" fillId="2" borderId="1" xfId="0" applyFont="1" applyFill="1" applyBorder="1" applyAlignment="1">
      <alignment vertical="center" wrapText="1"/>
    </xf>
    <xf numFmtId="0" fontId="11" fillId="2" borderId="0" xfId="0" applyFont="1" applyFill="1" applyAlignment="1">
      <alignment horizontal="center" vertical="center" wrapText="1"/>
    </xf>
    <xf numFmtId="0" fontId="13" fillId="0" borderId="0" xfId="0" applyFont="1"/>
    <xf numFmtId="0" fontId="13" fillId="0" borderId="19" xfId="0" applyFont="1" applyBorder="1"/>
    <xf numFmtId="0" fontId="13" fillId="0" borderId="20" xfId="0" applyFont="1" applyBorder="1"/>
    <xf numFmtId="0" fontId="13" fillId="0" borderId="21" xfId="0" applyFont="1" applyBorder="1"/>
    <xf numFmtId="0" fontId="13" fillId="0" borderId="22" xfId="0" applyFont="1" applyBorder="1"/>
    <xf numFmtId="0" fontId="12" fillId="0" borderId="18" xfId="3"/>
    <xf numFmtId="0" fontId="13" fillId="0" borderId="23" xfId="0" applyFont="1" applyBorder="1"/>
    <xf numFmtId="0" fontId="13" fillId="0" borderId="24" xfId="0" applyFont="1" applyBorder="1"/>
    <xf numFmtId="0" fontId="13" fillId="0" borderId="25" xfId="0" applyFont="1" applyBorder="1"/>
    <xf numFmtId="0" fontId="13" fillId="0" borderId="26" xfId="0" applyFont="1" applyBorder="1"/>
    <xf numFmtId="0" fontId="1" fillId="0" borderId="0" xfId="0" applyFont="1"/>
    <xf numFmtId="0" fontId="13" fillId="0" borderId="0" xfId="0" applyFont="1" applyAlignment="1">
      <alignment horizontal="left" vertical="top"/>
    </xf>
    <xf numFmtId="0" fontId="13" fillId="0" borderId="27" xfId="0" applyFont="1" applyBorder="1"/>
    <xf numFmtId="0" fontId="1" fillId="2" borderId="3" xfId="0" applyFont="1" applyFill="1" applyBorder="1" applyAlignment="1">
      <alignment vertical="center" wrapText="1"/>
    </xf>
    <xf numFmtId="0" fontId="1" fillId="2" borderId="3" xfId="0" applyFont="1" applyFill="1" applyBorder="1" applyAlignment="1">
      <alignment vertical="center"/>
    </xf>
    <xf numFmtId="0" fontId="1" fillId="2" borderId="1" xfId="0" applyFont="1" applyFill="1" applyBorder="1" applyAlignment="1">
      <alignment horizontal="left" vertical="center" wrapText="1"/>
    </xf>
    <xf numFmtId="0" fontId="1" fillId="2" borderId="32" xfId="0" applyFont="1" applyFill="1" applyBorder="1" applyAlignment="1">
      <alignment horizontal="center" vertical="center" wrapText="1"/>
    </xf>
    <xf numFmtId="0" fontId="17" fillId="2" borderId="0" xfId="0" applyFont="1" applyFill="1"/>
    <xf numFmtId="0" fontId="1" fillId="2" borderId="1" xfId="0" applyFont="1" applyFill="1" applyBorder="1" applyAlignment="1">
      <alignment vertical="center"/>
    </xf>
    <xf numFmtId="0" fontId="13" fillId="0" borderId="1" xfId="0" applyFont="1" applyBorder="1" applyAlignment="1">
      <alignment horizontal="center" vertical="center"/>
    </xf>
    <xf numFmtId="0" fontId="0" fillId="2" borderId="8" xfId="0" applyFill="1" applyBorder="1"/>
    <xf numFmtId="0" fontId="1" fillId="2" borderId="34" xfId="0" applyFont="1" applyFill="1" applyBorder="1"/>
    <xf numFmtId="0" fontId="15" fillId="0" borderId="0" xfId="4" applyFont="1" applyBorder="1" applyAlignment="1">
      <alignment vertical="top"/>
    </xf>
    <xf numFmtId="0" fontId="13" fillId="2" borderId="0" xfId="0" applyFont="1" applyFill="1"/>
    <xf numFmtId="0" fontId="13" fillId="2" borderId="0" xfId="0" applyFont="1" applyFill="1" applyAlignment="1">
      <alignment horizontal="left" vertical="top"/>
    </xf>
    <xf numFmtId="0" fontId="13" fillId="2" borderId="19" xfId="0" applyFont="1" applyFill="1" applyBorder="1"/>
    <xf numFmtId="0" fontId="13" fillId="2" borderId="20" xfId="0" applyFont="1" applyFill="1" applyBorder="1"/>
    <xf numFmtId="0" fontId="13" fillId="2" borderId="21" xfId="0" applyFont="1" applyFill="1" applyBorder="1"/>
    <xf numFmtId="0" fontId="13" fillId="2" borderId="22" xfId="0" applyFont="1" applyFill="1" applyBorder="1"/>
    <xf numFmtId="0" fontId="12" fillId="2" borderId="18" xfId="3" applyFill="1"/>
    <xf numFmtId="0" fontId="13" fillId="2" borderId="23" xfId="0" applyFont="1" applyFill="1" applyBorder="1"/>
    <xf numFmtId="0" fontId="13" fillId="2" borderId="24" xfId="0" applyFont="1" applyFill="1" applyBorder="1"/>
    <xf numFmtId="0" fontId="13" fillId="2" borderId="25" xfId="0" applyFont="1" applyFill="1" applyBorder="1"/>
    <xf numFmtId="0" fontId="13" fillId="2" borderId="26" xfId="0" applyFont="1" applyFill="1" applyBorder="1"/>
    <xf numFmtId="0" fontId="1" fillId="2" borderId="15" xfId="0" applyFont="1" applyFill="1" applyBorder="1"/>
    <xf numFmtId="9" fontId="1" fillId="2" borderId="33" xfId="1" applyFont="1" applyFill="1" applyBorder="1"/>
    <xf numFmtId="0" fontId="1" fillId="2" borderId="37" xfId="0" applyFont="1" applyFill="1" applyBorder="1"/>
    <xf numFmtId="9" fontId="1" fillId="2" borderId="9" xfId="1" applyFont="1" applyFill="1" applyBorder="1"/>
    <xf numFmtId="9" fontId="1" fillId="2" borderId="38" xfId="1" applyFont="1" applyFill="1" applyBorder="1"/>
    <xf numFmtId="9" fontId="1" fillId="2" borderId="39" xfId="1" applyFont="1" applyFill="1" applyBorder="1"/>
    <xf numFmtId="9" fontId="1" fillId="2" borderId="36" xfId="1" applyFont="1" applyFill="1" applyBorder="1"/>
    <xf numFmtId="9" fontId="1" fillId="2" borderId="35" xfId="1" applyFont="1" applyFill="1" applyBorder="1"/>
    <xf numFmtId="0" fontId="0" fillId="0" borderId="40" xfId="0" applyBorder="1" applyAlignment="1">
      <alignment wrapText="1"/>
    </xf>
    <xf numFmtId="0" fontId="0" fillId="0" borderId="41" xfId="0" applyBorder="1" applyAlignment="1">
      <alignment wrapText="1"/>
    </xf>
    <xf numFmtId="0" fontId="0" fillId="0" borderId="42" xfId="0" applyBorder="1" applyAlignment="1">
      <alignment wrapText="1"/>
    </xf>
    <xf numFmtId="0" fontId="0" fillId="2" borderId="7" xfId="0" applyFill="1" applyBorder="1"/>
    <xf numFmtId="0" fontId="13" fillId="2" borderId="1" xfId="0" applyFont="1" applyFill="1" applyBorder="1" applyAlignment="1">
      <alignment horizontal="center" vertical="center" wrapText="1"/>
    </xf>
    <xf numFmtId="0" fontId="13" fillId="2" borderId="22" xfId="0" applyFont="1" applyFill="1" applyBorder="1" applyAlignment="1">
      <alignment wrapText="1"/>
    </xf>
    <xf numFmtId="0" fontId="13" fillId="2" borderId="23" xfId="0" applyFont="1" applyFill="1" applyBorder="1" applyAlignment="1">
      <alignment wrapText="1"/>
    </xf>
    <xf numFmtId="0" fontId="13" fillId="2" borderId="0" xfId="0" applyFont="1" applyFill="1" applyAlignment="1">
      <alignment wrapText="1"/>
    </xf>
    <xf numFmtId="0" fontId="18" fillId="3" borderId="5" xfId="0" applyFont="1" applyFill="1" applyBorder="1"/>
    <xf numFmtId="0" fontId="18" fillId="3" borderId="6" xfId="0" applyFont="1" applyFill="1" applyBorder="1"/>
    <xf numFmtId="0" fontId="18" fillId="3" borderId="16" xfId="0" applyFont="1" applyFill="1" applyBorder="1"/>
    <xf numFmtId="0" fontId="1" fillId="2" borderId="33" xfId="0" applyFont="1" applyFill="1" applyBorder="1"/>
    <xf numFmtId="0" fontId="1" fillId="2" borderId="0" xfId="0" applyFont="1" applyFill="1" applyAlignment="1">
      <alignment wrapText="1"/>
    </xf>
    <xf numFmtId="9" fontId="1" fillId="2" borderId="0" xfId="0" applyNumberFormat="1" applyFont="1" applyFill="1"/>
    <xf numFmtId="0" fontId="18" fillId="3" borderId="5" xfId="0" applyFont="1" applyFill="1" applyBorder="1" applyAlignment="1">
      <alignment wrapText="1"/>
    </xf>
    <xf numFmtId="0" fontId="18" fillId="3" borderId="43" xfId="0" applyFont="1" applyFill="1" applyBorder="1" applyAlignment="1">
      <alignment wrapText="1"/>
    </xf>
    <xf numFmtId="0" fontId="18" fillId="3" borderId="6" xfId="0" applyFont="1" applyFill="1" applyBorder="1" applyAlignment="1">
      <alignment wrapText="1"/>
    </xf>
    <xf numFmtId="0" fontId="1" fillId="2" borderId="40" xfId="0" applyFont="1" applyFill="1" applyBorder="1" applyAlignment="1">
      <alignment horizontal="center" vertical="center" wrapText="1"/>
    </xf>
    <xf numFmtId="0" fontId="1" fillId="2" borderId="41" xfId="0" applyFont="1" applyFill="1" applyBorder="1" applyAlignment="1">
      <alignment horizontal="center" vertical="center" wrapText="1"/>
    </xf>
    <xf numFmtId="14" fontId="1" fillId="2" borderId="41" xfId="0" applyNumberFormat="1" applyFont="1" applyFill="1" applyBorder="1" applyAlignment="1">
      <alignment horizontal="center" vertical="center" wrapText="1"/>
    </xf>
    <xf numFmtId="0" fontId="1" fillId="2" borderId="42" xfId="0" applyFont="1" applyFill="1" applyBorder="1" applyAlignment="1">
      <alignment horizontal="center" vertical="center" wrapText="1"/>
    </xf>
    <xf numFmtId="0" fontId="19" fillId="2" borderId="0" xfId="0" applyFont="1" applyFill="1" applyAlignment="1">
      <alignment horizontal="left" vertical="center"/>
    </xf>
    <xf numFmtId="0" fontId="19" fillId="2" borderId="0" xfId="0" applyFont="1" applyFill="1" applyAlignment="1">
      <alignment vertical="center" wrapText="1"/>
    </xf>
    <xf numFmtId="0" fontId="19" fillId="2" borderId="0" xfId="0" applyFont="1" applyFill="1"/>
    <xf numFmtId="0" fontId="21" fillId="2" borderId="0" xfId="0" applyFont="1" applyFill="1" applyAlignment="1">
      <alignment wrapText="1"/>
    </xf>
    <xf numFmtId="9" fontId="1" fillId="2" borderId="44" xfId="1" applyFont="1" applyFill="1" applyBorder="1"/>
    <xf numFmtId="9" fontId="1" fillId="2" borderId="0" xfId="1" applyFont="1" applyFill="1"/>
    <xf numFmtId="0" fontId="23" fillId="2" borderId="0" xfId="0" applyFont="1" applyFill="1" applyAlignment="1">
      <alignment vertical="center" wrapText="1"/>
    </xf>
    <xf numFmtId="0" fontId="1" fillId="2" borderId="19" xfId="0" applyFont="1" applyFill="1" applyBorder="1"/>
    <xf numFmtId="0" fontId="1" fillId="2" borderId="21" xfId="0" applyFont="1" applyFill="1" applyBorder="1"/>
    <xf numFmtId="0" fontId="1" fillId="2" borderId="22" xfId="0" applyFont="1" applyFill="1" applyBorder="1"/>
    <xf numFmtId="0" fontId="1" fillId="2" borderId="23" xfId="0" applyFont="1" applyFill="1" applyBorder="1"/>
    <xf numFmtId="0" fontId="1" fillId="2" borderId="24" xfId="0" applyFont="1" applyFill="1" applyBorder="1"/>
    <xf numFmtId="0" fontId="1" fillId="2" borderId="25" xfId="0" applyFont="1" applyFill="1" applyBorder="1"/>
    <xf numFmtId="0" fontId="1" fillId="2" borderId="26" xfId="0" applyFont="1" applyFill="1" applyBorder="1"/>
    <xf numFmtId="0" fontId="18" fillId="3" borderId="1" xfId="0" applyFont="1" applyFill="1" applyBorder="1"/>
    <xf numFmtId="0" fontId="0" fillId="2" borderId="0" xfId="0" applyFill="1" applyAlignment="1">
      <alignment horizontal="justify" wrapText="1"/>
    </xf>
    <xf numFmtId="0" fontId="1" fillId="2" borderId="1" xfId="0" applyFont="1" applyFill="1" applyBorder="1" applyAlignment="1">
      <alignment horizontal="justify" wrapText="1"/>
    </xf>
    <xf numFmtId="0" fontId="6" fillId="2" borderId="1" xfId="0" applyFont="1" applyFill="1" applyBorder="1" applyAlignment="1">
      <alignment horizontal="justify" wrapText="1"/>
    </xf>
    <xf numFmtId="0" fontId="5" fillId="2" borderId="1" xfId="0" applyFont="1" applyFill="1" applyBorder="1" applyAlignment="1">
      <alignment horizontal="justify" wrapText="1"/>
    </xf>
    <xf numFmtId="0" fontId="1" fillId="0" borderId="1" xfId="0" applyFont="1" applyBorder="1" applyAlignment="1">
      <alignment horizontal="justify" wrapText="1"/>
    </xf>
    <xf numFmtId="0" fontId="1" fillId="2" borderId="1" xfId="0" applyFont="1" applyFill="1" applyBorder="1" applyAlignment="1">
      <alignment horizontal="justify" vertical="center" wrapText="1"/>
    </xf>
    <xf numFmtId="0" fontId="1" fillId="2" borderId="1" xfId="0" applyFont="1" applyFill="1" applyBorder="1" applyAlignment="1">
      <alignment horizontal="justify" vertical="center"/>
    </xf>
    <xf numFmtId="0" fontId="1" fillId="5" borderId="1" xfId="0" applyFont="1" applyFill="1" applyBorder="1" applyAlignment="1">
      <alignment horizontal="justify" vertical="center"/>
    </xf>
    <xf numFmtId="0" fontId="1" fillId="2" borderId="17" xfId="0" applyFont="1" applyFill="1" applyBorder="1" applyAlignment="1">
      <alignment horizontal="justify" wrapText="1"/>
    </xf>
    <xf numFmtId="0" fontId="1" fillId="2" borderId="17" xfId="0" applyFont="1" applyFill="1" applyBorder="1" applyAlignment="1">
      <alignment horizontal="justify" vertical="top" wrapText="1"/>
    </xf>
    <xf numFmtId="0" fontId="0" fillId="2" borderId="17" xfId="0" applyFill="1" applyBorder="1" applyAlignment="1">
      <alignment horizontal="justify" vertical="top" wrapText="1"/>
    </xf>
    <xf numFmtId="0" fontId="6" fillId="2" borderId="30" xfId="0" applyFont="1" applyFill="1" applyBorder="1" applyAlignment="1">
      <alignment horizontal="justify" vertical="center" wrapText="1"/>
    </xf>
    <xf numFmtId="0" fontId="6" fillId="2" borderId="31" xfId="0" applyFont="1" applyFill="1" applyBorder="1" applyAlignment="1">
      <alignment horizontal="justify" vertical="center" wrapText="1"/>
    </xf>
    <xf numFmtId="0" fontId="6" fillId="2" borderId="29" xfId="0" applyFont="1" applyFill="1" applyBorder="1" applyAlignment="1">
      <alignment horizontal="justify" vertical="center" wrapText="1"/>
    </xf>
    <xf numFmtId="0" fontId="6" fillId="2" borderId="28" xfId="0" applyFont="1" applyFill="1" applyBorder="1" applyAlignment="1">
      <alignment horizontal="justify" vertical="center" wrapText="1"/>
    </xf>
    <xf numFmtId="0" fontId="6" fillId="0" borderId="0" xfId="0" applyFont="1" applyAlignment="1">
      <alignment horizontal="left" vertical="center" wrapText="1"/>
    </xf>
    <xf numFmtId="0" fontId="6" fillId="0" borderId="0" xfId="0" applyFont="1" applyAlignment="1">
      <alignment horizontal="left" vertical="center"/>
    </xf>
    <xf numFmtId="0" fontId="6" fillId="0" borderId="0" xfId="0" applyFont="1" applyAlignment="1">
      <alignment vertical="center"/>
    </xf>
    <xf numFmtId="0" fontId="6" fillId="0" borderId="0" xfId="0" applyFont="1" applyAlignment="1">
      <alignment horizontal="justify" vertical="center" wrapText="1"/>
    </xf>
    <xf numFmtId="0" fontId="6" fillId="2" borderId="0" xfId="0" applyFont="1" applyFill="1" applyAlignment="1">
      <alignment horizontal="justify" vertical="center" wrapText="1"/>
    </xf>
    <xf numFmtId="0" fontId="6" fillId="0" borderId="0" xfId="0" applyFont="1" applyAlignment="1">
      <alignment horizontal="justify" vertical="center"/>
    </xf>
    <xf numFmtId="0" fontId="6" fillId="0" borderId="0" xfId="0" applyFont="1" applyAlignment="1">
      <alignment vertical="center" wrapText="1"/>
    </xf>
    <xf numFmtId="0" fontId="6" fillId="0" borderId="0" xfId="0" applyFont="1" applyAlignment="1">
      <alignment horizontal="center" vertical="center" wrapText="1"/>
    </xf>
    <xf numFmtId="0" fontId="6" fillId="6" borderId="0" xfId="0" applyFont="1" applyFill="1" applyAlignment="1">
      <alignment horizontal="justify" vertical="center"/>
    </xf>
    <xf numFmtId="0" fontId="0" fillId="2" borderId="0" xfId="0" applyFill="1" applyAlignment="1">
      <alignment horizontal="justify" vertical="center" wrapText="1"/>
    </xf>
    <xf numFmtId="0" fontId="1" fillId="2" borderId="2" xfId="0" applyFont="1" applyFill="1" applyBorder="1" applyAlignment="1">
      <alignment horizontal="center" vertical="top" wrapText="1"/>
    </xf>
    <xf numFmtId="0" fontId="1" fillId="2" borderId="1" xfId="0" applyFont="1" applyFill="1" applyBorder="1" applyAlignment="1">
      <alignment horizontal="justify" vertical="top" wrapText="1"/>
    </xf>
    <xf numFmtId="0" fontId="1" fillId="2" borderId="1" xfId="0" applyFont="1" applyFill="1" applyBorder="1" applyAlignment="1">
      <alignment horizontal="center" vertical="top"/>
    </xf>
    <xf numFmtId="0" fontId="1" fillId="2" borderId="1" xfId="0" applyFont="1" applyFill="1" applyBorder="1" applyAlignment="1">
      <alignment horizontal="center" vertical="top" wrapText="1"/>
    </xf>
    <xf numFmtId="0" fontId="1" fillId="2" borderId="1" xfId="0" applyFont="1" applyFill="1" applyBorder="1" applyAlignment="1">
      <alignment horizontal="justify" vertical="top"/>
    </xf>
    <xf numFmtId="0" fontId="6" fillId="2" borderId="1" xfId="0" applyFont="1" applyFill="1" applyBorder="1" applyAlignment="1">
      <alignment horizontal="justify" vertical="top" wrapText="1"/>
    </xf>
    <xf numFmtId="0" fontId="1" fillId="5" borderId="1" xfId="0" applyFont="1" applyFill="1" applyBorder="1" applyAlignment="1">
      <alignment horizontal="center" vertical="top"/>
    </xf>
    <xf numFmtId="0" fontId="1" fillId="5" borderId="1" xfId="0" applyFont="1" applyFill="1" applyBorder="1" applyAlignment="1">
      <alignment horizontal="justify" vertical="top"/>
    </xf>
    <xf numFmtId="0" fontId="1" fillId="0" borderId="1" xfId="0" applyFont="1" applyBorder="1" applyAlignment="1">
      <alignment vertical="top"/>
    </xf>
    <xf numFmtId="0" fontId="1" fillId="0" borderId="1" xfId="0" applyFont="1" applyBorder="1" applyAlignment="1">
      <alignment horizontal="center" vertical="top" wrapText="1"/>
    </xf>
    <xf numFmtId="0" fontId="13" fillId="0" borderId="1" xfId="0" applyFont="1" applyBorder="1" applyAlignment="1">
      <alignment horizontal="center" vertical="top" wrapText="1"/>
    </xf>
    <xf numFmtId="0" fontId="13" fillId="0" borderId="1" xfId="0" applyFont="1" applyBorder="1" applyAlignment="1">
      <alignment horizontal="justify" vertical="top" wrapText="1"/>
    </xf>
    <xf numFmtId="0" fontId="13" fillId="0" borderId="1" xfId="0" applyFont="1" applyBorder="1" applyAlignment="1">
      <alignment horizontal="center" vertical="top"/>
    </xf>
    <xf numFmtId="0" fontId="1" fillId="0" borderId="1" xfId="0" applyFont="1" applyBorder="1" applyAlignment="1">
      <alignment horizontal="justify" vertical="top" wrapText="1"/>
    </xf>
    <xf numFmtId="0" fontId="13" fillId="0" borderId="1" xfId="0" applyFont="1" applyBorder="1" applyAlignment="1">
      <alignment horizontal="justify" vertical="top"/>
    </xf>
    <xf numFmtId="0" fontId="1" fillId="2" borderId="1" xfId="0" applyFont="1" applyFill="1" applyBorder="1" applyAlignment="1">
      <alignment vertical="top" wrapText="1"/>
    </xf>
    <xf numFmtId="0" fontId="1" fillId="0" borderId="1" xfId="0" applyFont="1" applyBorder="1" applyAlignment="1">
      <alignment vertical="top" wrapText="1"/>
    </xf>
    <xf numFmtId="0" fontId="23" fillId="2" borderId="0" xfId="0" applyFont="1" applyFill="1" applyAlignment="1">
      <alignment horizontal="left" vertical="center" wrapText="1"/>
    </xf>
    <xf numFmtId="0" fontId="24" fillId="2" borderId="20" xfId="4" applyFont="1" applyFill="1" applyBorder="1" applyAlignment="1">
      <alignment horizontal="center"/>
    </xf>
    <xf numFmtId="0" fontId="1" fillId="2" borderId="3" xfId="0" applyFont="1" applyFill="1" applyBorder="1" applyAlignment="1">
      <alignment horizontal="justify" vertical="top" wrapText="1"/>
    </xf>
    <xf numFmtId="0" fontId="1" fillId="2" borderId="4" xfId="0" applyFont="1" applyFill="1" applyBorder="1" applyAlignment="1">
      <alignment horizontal="justify" vertical="top" wrapText="1"/>
    </xf>
    <xf numFmtId="0" fontId="1" fillId="2" borderId="2" xfId="0" applyFont="1" applyFill="1" applyBorder="1" applyAlignment="1">
      <alignment horizontal="justify" vertical="top" wrapText="1"/>
    </xf>
    <xf numFmtId="0" fontId="12" fillId="2" borderId="0" xfId="3" applyFill="1" applyBorder="1" applyAlignment="1">
      <alignment horizontal="center" wrapText="1"/>
    </xf>
    <xf numFmtId="0" fontId="0" fillId="2" borderId="3" xfId="0" applyFill="1" applyBorder="1" applyAlignment="1">
      <alignment horizontal="center" vertical="center" wrapText="1"/>
    </xf>
    <xf numFmtId="0" fontId="0" fillId="2" borderId="4" xfId="0" applyFill="1" applyBorder="1" applyAlignment="1">
      <alignment horizontal="center" vertical="center" wrapText="1"/>
    </xf>
    <xf numFmtId="0" fontId="0" fillId="2" borderId="2" xfId="0" applyFill="1" applyBorder="1" applyAlignment="1">
      <alignment horizontal="center" vertical="center" wrapText="1"/>
    </xf>
    <xf numFmtId="0" fontId="1" fillId="2" borderId="3" xfId="0" applyFont="1" applyFill="1" applyBorder="1" applyAlignment="1">
      <alignment horizontal="center" vertical="center" wrapText="1"/>
    </xf>
    <xf numFmtId="0" fontId="1" fillId="2" borderId="4" xfId="0" applyFont="1" applyFill="1" applyBorder="1" applyAlignment="1">
      <alignment horizontal="center" vertical="center" wrapText="1"/>
    </xf>
    <xf numFmtId="0" fontId="1" fillId="2" borderId="2" xfId="0" applyFont="1" applyFill="1" applyBorder="1" applyAlignment="1">
      <alignment horizontal="center" vertical="center" wrapText="1"/>
    </xf>
    <xf numFmtId="0" fontId="3" fillId="3" borderId="1" xfId="0" applyFont="1" applyFill="1" applyBorder="1" applyAlignment="1">
      <alignment horizontal="center" vertical="center"/>
    </xf>
    <xf numFmtId="0" fontId="1" fillId="2" borderId="3" xfId="0" applyFont="1" applyFill="1" applyBorder="1" applyAlignment="1">
      <alignment horizontal="center" vertical="center"/>
    </xf>
    <xf numFmtId="0" fontId="1" fillId="2" borderId="4" xfId="0" applyFont="1" applyFill="1" applyBorder="1" applyAlignment="1">
      <alignment horizontal="center" vertical="center"/>
    </xf>
    <xf numFmtId="0" fontId="1" fillId="2" borderId="2" xfId="0" applyFont="1" applyFill="1" applyBorder="1" applyAlignment="1">
      <alignment horizontal="center" vertical="center"/>
    </xf>
    <xf numFmtId="0" fontId="15" fillId="2" borderId="0" xfId="4" applyFont="1" applyFill="1" applyBorder="1" applyAlignment="1">
      <alignment horizontal="center" vertical="top"/>
    </xf>
    <xf numFmtId="0" fontId="3" fillId="3" borderId="3" xfId="0" applyFont="1" applyFill="1" applyBorder="1" applyAlignment="1">
      <alignment horizontal="center" vertical="center"/>
    </xf>
    <xf numFmtId="0" fontId="3" fillId="3" borderId="1" xfId="0" applyFont="1" applyFill="1" applyBorder="1" applyAlignment="1">
      <alignment horizontal="center" vertical="center" wrapText="1"/>
    </xf>
    <xf numFmtId="0" fontId="19" fillId="2" borderId="0" xfId="0" applyFont="1" applyFill="1" applyAlignment="1">
      <alignment horizontal="left" vertical="center" wrapText="1"/>
    </xf>
    <xf numFmtId="0" fontId="17" fillId="2" borderId="1" xfId="0" applyFont="1" applyFill="1" applyBorder="1" applyAlignment="1">
      <alignment horizontal="center" vertical="top" wrapText="1"/>
    </xf>
  </cellXfs>
  <cellStyles count="5">
    <cellStyle name="Encabezado 1" xfId="3" builtinId="16"/>
    <cellStyle name="Encabezado 4" xfId="4" builtinId="19"/>
    <cellStyle name="Hipervínculo" xfId="2" builtinId="8"/>
    <cellStyle name="Normal" xfId="0" builtinId="0"/>
    <cellStyle name="Porcentaje" xfId="1" builtinId="5"/>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77F49661-780E-4E36-B487-8A8F29CC40A8}">
      <tableStyleElement type="wholeTable" dxfId="1"/>
      <tableStyleElement type="headerRow" dxfId="0"/>
    </tableStyle>
  </tableStyles>
  <colors>
    <mruColors>
      <color rgb="FF31869B"/>
      <color rgb="FFC1F1F0"/>
      <color rgb="FF97E7E5"/>
      <color rgb="FF009999"/>
      <color rgb="FF03D3AB"/>
      <color rgb="FF6E152E"/>
      <color rgb="FFDEC9A2"/>
      <color rgb="FFF0D5AE"/>
      <color rgb="FFD8922C"/>
      <color rgb="FFE8B49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Drop" dropStyle="combo" dx="22" fmlaLink="Aux!$C$1" fmlaRange="Aux!$F$5:$F$13" noThreeD="1" sel="8"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Drop" dropStyle="combo" dx="22" fmlaLink="Aux!$D$49" fmlaRange="Aux!$C$51:$C$66" noThreeD="1" sel="9" val="4"/>
</file>

<file path=xl/ctrlProps/ctrlProp4.xml><?xml version="1.0" encoding="utf-8"?>
<formControlPr xmlns="http://schemas.microsoft.com/office/spreadsheetml/2009/9/main" objectType="Drop" dropStyle="combo" dx="22" fmlaLink="Aux!$C$49" fmlaRange="Aux!$B$51:$B$62" noThreeD="1" sel="6" val="0"/>
</file>

<file path=xl/ctrlProps/ctrlProp5.xml><?xml version="1.0" encoding="utf-8"?>
<formControlPr xmlns="http://schemas.microsoft.com/office/spreadsheetml/2009/9/main" objectType="Drop" dropStyle="combo" dx="22" fmlaLink="Aux!$B$49" fmlaRange="Aux!$A$51:$A$80" noThreeD="1" sel="23" val="22"/>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Drop" dropStyle="combo" dx="22" fmlaLink="Prestadores!$M$1" fmlaRange="Prestadores!$K$2:$K$3" noThreeD="1" sel="1" val="0"/>
</file>

<file path=xl/ctrlProps/ctrlProp8.xml><?xml version="1.0" encoding="utf-8"?>
<formControlPr xmlns="http://schemas.microsoft.com/office/spreadsheetml/2009/9/main" objectType="Drop" dropStyle="combo" dx="22" fmlaLink="Aux!$C$8" fmlaRange="Aux!$A$9:$A$10" noThreeD="1" sel="1" val="0"/>
</file>

<file path=xl/ctrlProps/ctrlProp9.xml><?xml version="1.0" encoding="utf-8"?>
<formControlPr xmlns="http://schemas.microsoft.com/office/spreadsheetml/2009/9/main" objectType="Drop" dropStyle="combo" dx="22" fmlaLink="Aux!$F$1" fmlaRange="Aux!$E$2:$E$3" noThreeD="1" sel="1" val="0"/>
</file>

<file path=xl/ctrlProps/ctrlProp10.xml><?xml version="1.0" encoding="utf-8"?>
<formControlPr xmlns="http://schemas.microsoft.com/office/spreadsheetml/2009/9/main" objectType="Drop" dropStyle="combo" dx="22" fmlaLink="Aux!$B$12" fmlaRange="Aux!$A$13:$A$14" noThreeD="1" sel="1" val="0"/>
</file>

<file path=xl/ctrlProps/ctrlProp11.xml><?xml version="1.0" encoding="utf-8"?>
<formControlPr xmlns="http://schemas.microsoft.com/office/spreadsheetml/2009/9/main" objectType="Drop" dropStyle="combo" dx="22" fmlaLink="Prestadores!$G$1" fmlaRange="Prestadores!$F$2:$F$12" noThreeD="1" sel="1" val="0"/>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Drop" dropStyle="combo" dx="22" fmlaLink="Prestadores!$Q$1" fmlaRange="Prestadores!$P$2:$P$62" noThreeD="1" sel="25" val="17"/>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CheckBox" fmlaLink="Aux!$L$1" lockText="1" noThreeD="1"/>
</file>

<file path=xl/ctrlProps/ctrlProp34.xml><?xml version="1.0" encoding="utf-8"?>
<formControlPr xmlns="http://schemas.microsoft.com/office/spreadsheetml/2009/9/main" objectType="CheckBox" fmlaLink="Aux!$L$2" lockText="1" noThreeD="1"/>
</file>

<file path=xl/ctrlProps/ctrlProp35.xml><?xml version="1.0" encoding="utf-8"?>
<formControlPr xmlns="http://schemas.microsoft.com/office/spreadsheetml/2009/9/main" objectType="CheckBox" fmlaLink="Aux!$L$3" lockText="1" noThreeD="1"/>
</file>

<file path=xl/ctrlProps/ctrlProp36.xml><?xml version="1.0" encoding="utf-8"?>
<formControlPr xmlns="http://schemas.microsoft.com/office/spreadsheetml/2009/9/main" objectType="CheckBox" fmlaLink="Aux!$L$4" lockText="1" noThreeD="1"/>
</file>

<file path=xl/ctrlProps/ctrlProp37.xml><?xml version="1.0" encoding="utf-8"?>
<formControlPr xmlns="http://schemas.microsoft.com/office/spreadsheetml/2009/9/main" objectType="CheckBox" fmlaLink="Aux!$L$5" lockText="1" noThreeD="1"/>
</file>

<file path=xl/ctrlProps/ctrlProp38.xml><?xml version="1.0" encoding="utf-8"?>
<formControlPr xmlns="http://schemas.microsoft.com/office/spreadsheetml/2009/9/main" objectType="CheckBox" fmlaLink="Aux!$L$6" lockText="1" noThreeD="1"/>
</file>

<file path=xl/ctrlProps/ctrlProp39.xml><?xml version="1.0" encoding="utf-8"?>
<formControlPr xmlns="http://schemas.microsoft.com/office/spreadsheetml/2009/9/main" objectType="CheckBox" fmlaLink="Aux!$L$7" lockText="1" noThreeD="1"/>
</file>

<file path=xl/ctrlProps/ctrlProp40.xml><?xml version="1.0" encoding="utf-8"?>
<formControlPr xmlns="http://schemas.microsoft.com/office/spreadsheetml/2009/9/main" objectType="CheckBox" fmlaLink="Aux!$L$8" lockText="1" noThreeD="1"/>
</file>

<file path=xl/ctrlProps/ctrlProp41.xml><?xml version="1.0" encoding="utf-8"?>
<formControlPr xmlns="http://schemas.microsoft.com/office/spreadsheetml/2009/9/main" objectType="CheckBox" fmlaLink="Aux!$L$9" lockText="1" noThreeD="1"/>
</file>

<file path=xl/ctrlProps/ctrlProp42.xml><?xml version="1.0" encoding="utf-8"?>
<formControlPr xmlns="http://schemas.microsoft.com/office/spreadsheetml/2009/9/main" objectType="CheckBox" fmlaLink="Aux!$L$10" lockText="1" noThreeD="1"/>
</file>

<file path=xl/ctrlProps/ctrlProp43.xml><?xml version="1.0" encoding="utf-8"?>
<formControlPr xmlns="http://schemas.microsoft.com/office/spreadsheetml/2009/9/main" objectType="CheckBox" fmlaLink="Aux!$L$11" lockText="1" noThreeD="1"/>
</file>

<file path=xl/ctrlProps/ctrlProp44.xml><?xml version="1.0" encoding="utf-8"?>
<formControlPr xmlns="http://schemas.microsoft.com/office/spreadsheetml/2009/9/main" objectType="CheckBox" fmlaLink="Aux!$L$12" lockText="1" noThreeD="1"/>
</file>

<file path=xl/ctrlProps/ctrlProp45.xml><?xml version="1.0" encoding="utf-8"?>
<formControlPr xmlns="http://schemas.microsoft.com/office/spreadsheetml/2009/9/main" objectType="CheckBox" fmlaLink="Aux!$L$13" lockText="1" noThreeD="1"/>
</file>

<file path=xl/ctrlProps/ctrlProp46.xml><?xml version="1.0" encoding="utf-8"?>
<formControlPr xmlns="http://schemas.microsoft.com/office/spreadsheetml/2009/9/main" objectType="CheckBox" fmlaLink="Aux!$L$14" lockText="1" noThreeD="1"/>
</file>

<file path=xl/ctrlProps/ctrlProp47.xml><?xml version="1.0" encoding="utf-8"?>
<formControlPr xmlns="http://schemas.microsoft.com/office/spreadsheetml/2009/9/main" objectType="CheckBox" fmlaLink="Aux!$L$15" lockText="1" noThreeD="1"/>
</file>

<file path=xl/ctrlProps/ctrlProp48.xml><?xml version="1.0" encoding="utf-8"?>
<formControlPr xmlns="http://schemas.microsoft.com/office/spreadsheetml/2009/9/main" objectType="CheckBox" fmlaLink="Aux!$L$16" lockText="1" noThreeD="1"/>
</file>

<file path=xl/ctrlProps/ctrlProp49.xml><?xml version="1.0" encoding="utf-8"?>
<formControlPr xmlns="http://schemas.microsoft.com/office/spreadsheetml/2009/9/main" objectType="CheckBox" fmlaLink="Aux!$L$17" lockText="1" noThreeD="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Drop" dropStyle="combo" dx="22" fmlaLink="Aux!$B$17" fmlaRange="Aux!$A$18:$A$47" noThreeD="1" sel="1" val="0"/>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1" Type="http://schemas.openxmlformats.org/officeDocument/2006/relationships/image" Target="../media/image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2.png"/></Relationships>
</file>

<file path=xl/drawings/_rels/drawing12.xml.rels><?xml version="1.0" encoding="UTF-8" standalone="yes"?>
<Relationships xmlns="http://schemas.openxmlformats.org/package/2006/relationships"><Relationship Id="rId1" Type="http://schemas.openxmlformats.org/officeDocument/2006/relationships/image" Target="../media/image2.png"/></Relationships>
</file>

<file path=xl/drawings/_rels/drawing13.xml.rels><?xml version="1.0" encoding="UTF-8" standalone="yes"?>
<Relationships xmlns="http://schemas.openxmlformats.org/package/2006/relationships"><Relationship Id="rId1" Type="http://schemas.openxmlformats.org/officeDocument/2006/relationships/image" Target="../media/image2.png"/></Relationships>
</file>

<file path=xl/drawings/_rels/drawing14.xml.rels><?xml version="1.0" encoding="UTF-8" standalone="yes"?>
<Relationships xmlns="http://schemas.openxmlformats.org/package/2006/relationships"><Relationship Id="rId1" Type="http://schemas.openxmlformats.org/officeDocument/2006/relationships/image" Target="../media/image2.png"/></Relationships>
</file>

<file path=xl/drawings/_rels/drawing15.xml.rels><?xml version="1.0" encoding="UTF-8" standalone="yes"?>
<Relationships xmlns="http://schemas.openxmlformats.org/package/2006/relationships"><Relationship Id="rId1" Type="http://schemas.openxmlformats.org/officeDocument/2006/relationships/image" Target="../media/image2.png"/></Relationships>
</file>

<file path=xl/drawings/_rels/drawing16.xml.rels><?xml version="1.0" encoding="UTF-8" standalone="yes"?>
<Relationships xmlns="http://schemas.openxmlformats.org/package/2006/relationships"><Relationship Id="rId1" Type="http://schemas.openxmlformats.org/officeDocument/2006/relationships/image" Target="../media/image2.png"/></Relationships>
</file>

<file path=xl/drawings/_rels/drawing17.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762000</xdr:colOff>
          <xdr:row>43</xdr:row>
          <xdr:rowOff>0</xdr:rowOff>
        </xdr:from>
        <xdr:to>
          <xdr:col>7</xdr:col>
          <xdr:colOff>247650</xdr:colOff>
          <xdr:row>46</xdr:row>
          <xdr:rowOff>0</xdr:rowOff>
        </xdr:to>
        <xdr:sp macro="" textlink="">
          <xdr:nvSpPr>
            <xdr:cNvPr id="70657" name="Drop Down 1" hidden="1">
              <a:extLst>
                <a:ext uri="{63B3BB69-23CF-44E3-9099-C40C66FF867C}">
                  <a14:compatExt spid="_x0000_s70657"/>
                </a:ext>
                <a:ext uri="{FF2B5EF4-FFF2-40B4-BE49-F238E27FC236}">
                  <a16:creationId xmlns:a16="http://schemas.microsoft.com/office/drawing/2014/main" id="{00000000-0008-0000-0000-0000011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171450</xdr:colOff>
          <xdr:row>47</xdr:row>
          <xdr:rowOff>76200</xdr:rowOff>
        </xdr:from>
        <xdr:to>
          <xdr:col>6</xdr:col>
          <xdr:colOff>485775</xdr:colOff>
          <xdr:row>51</xdr:row>
          <xdr:rowOff>38100</xdr:rowOff>
        </xdr:to>
        <xdr:sp macro="" textlink="">
          <xdr:nvSpPr>
            <xdr:cNvPr id="70658" name="Button 2" hidden="1">
              <a:extLst>
                <a:ext uri="{63B3BB69-23CF-44E3-9099-C40C66FF867C}">
                  <a14:compatExt spid="_x0000_s70658"/>
                </a:ext>
                <a:ext uri="{FF2B5EF4-FFF2-40B4-BE49-F238E27FC236}">
                  <a16:creationId xmlns:a16="http://schemas.microsoft.com/office/drawing/2014/main" id="{00000000-0008-0000-0000-0000021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000" b="0" i="0" u="none" strike="noStrike" baseline="0">
                  <a:solidFill>
                    <a:srgbClr val="000000"/>
                  </a:solidFill>
                  <a:latin typeface="Montserrat"/>
                </a:rPr>
                <a:t>Continuar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8</xdr:row>
          <xdr:rowOff>9525</xdr:rowOff>
        </xdr:from>
        <xdr:to>
          <xdr:col>4</xdr:col>
          <xdr:colOff>9525</xdr:colOff>
          <xdr:row>10</xdr:row>
          <xdr:rowOff>0</xdr:rowOff>
        </xdr:to>
        <xdr:sp macro="" textlink="">
          <xdr:nvSpPr>
            <xdr:cNvPr id="70659" name="Drop Down 3" hidden="1">
              <a:extLst>
                <a:ext uri="{63B3BB69-23CF-44E3-9099-C40C66FF867C}">
                  <a14:compatExt spid="_x0000_s70659"/>
                </a:ext>
                <a:ext uri="{FF2B5EF4-FFF2-40B4-BE49-F238E27FC236}">
                  <a16:creationId xmlns:a16="http://schemas.microsoft.com/office/drawing/2014/main" id="{00000000-0008-0000-0000-0000031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8</xdr:row>
          <xdr:rowOff>9525</xdr:rowOff>
        </xdr:from>
        <xdr:to>
          <xdr:col>7</xdr:col>
          <xdr:colOff>0</xdr:colOff>
          <xdr:row>10</xdr:row>
          <xdr:rowOff>0</xdr:rowOff>
        </xdr:to>
        <xdr:sp macro="" textlink="">
          <xdr:nvSpPr>
            <xdr:cNvPr id="70660" name="Drop Down 4" hidden="1">
              <a:extLst>
                <a:ext uri="{63B3BB69-23CF-44E3-9099-C40C66FF867C}">
                  <a14:compatExt spid="_x0000_s70660"/>
                </a:ext>
                <a:ext uri="{FF2B5EF4-FFF2-40B4-BE49-F238E27FC236}">
                  <a16:creationId xmlns:a16="http://schemas.microsoft.com/office/drawing/2014/main" id="{00000000-0008-0000-0000-0000041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8</xdr:row>
          <xdr:rowOff>0</xdr:rowOff>
        </xdr:from>
        <xdr:to>
          <xdr:col>10</xdr:col>
          <xdr:colOff>0</xdr:colOff>
          <xdr:row>9</xdr:row>
          <xdr:rowOff>180975</xdr:rowOff>
        </xdr:to>
        <xdr:sp macro="" textlink="">
          <xdr:nvSpPr>
            <xdr:cNvPr id="70661" name="Drop Down 5" hidden="1">
              <a:extLst>
                <a:ext uri="{63B3BB69-23CF-44E3-9099-C40C66FF867C}">
                  <a14:compatExt spid="_x0000_s70661"/>
                </a:ext>
                <a:ext uri="{FF2B5EF4-FFF2-40B4-BE49-F238E27FC236}">
                  <a16:creationId xmlns:a16="http://schemas.microsoft.com/office/drawing/2014/main" id="{00000000-0008-0000-0000-0000051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9525</xdr:colOff>
          <xdr:row>12</xdr:row>
          <xdr:rowOff>66675</xdr:rowOff>
        </xdr:from>
        <xdr:to>
          <xdr:col>9</xdr:col>
          <xdr:colOff>257175</xdr:colOff>
          <xdr:row>14</xdr:row>
          <xdr:rowOff>47625</xdr:rowOff>
        </xdr:to>
        <xdr:sp macro="" textlink="">
          <xdr:nvSpPr>
            <xdr:cNvPr id="70662" name="Button 6" hidden="1">
              <a:extLst>
                <a:ext uri="{63B3BB69-23CF-44E3-9099-C40C66FF867C}">
                  <a14:compatExt spid="_x0000_s70662"/>
                </a:ext>
                <a:ext uri="{FF2B5EF4-FFF2-40B4-BE49-F238E27FC236}">
                  <a16:creationId xmlns:a16="http://schemas.microsoft.com/office/drawing/2014/main" id="{00000000-0008-0000-0000-0000061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000" b="0" i="0" u="none" strike="noStrike" baseline="0">
                  <a:solidFill>
                    <a:srgbClr val="000000"/>
                  </a:solidFill>
                  <a:latin typeface="Montserrat"/>
                </a:rPr>
                <a:t>Agregar otra institución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11</xdr:row>
          <xdr:rowOff>180975</xdr:rowOff>
        </xdr:from>
        <xdr:to>
          <xdr:col>4</xdr:col>
          <xdr:colOff>28575</xdr:colOff>
          <xdr:row>14</xdr:row>
          <xdr:rowOff>161925</xdr:rowOff>
        </xdr:to>
        <xdr:sp macro="" textlink="">
          <xdr:nvSpPr>
            <xdr:cNvPr id="70663" name="TextBox1" hidden="1">
              <a:extLst>
                <a:ext uri="{63B3BB69-23CF-44E3-9099-C40C66FF867C}">
                  <a14:compatExt spid="_x0000_s70663"/>
                </a:ext>
                <a:ext uri="{FF2B5EF4-FFF2-40B4-BE49-F238E27FC236}">
                  <a16:creationId xmlns:a16="http://schemas.microsoft.com/office/drawing/2014/main" id="{00000000-0008-0000-0000-0000071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12</xdr:row>
          <xdr:rowOff>9525</xdr:rowOff>
        </xdr:from>
        <xdr:to>
          <xdr:col>7</xdr:col>
          <xdr:colOff>0</xdr:colOff>
          <xdr:row>15</xdr:row>
          <xdr:rowOff>0</xdr:rowOff>
        </xdr:to>
        <xdr:sp macro="" textlink="">
          <xdr:nvSpPr>
            <xdr:cNvPr id="70664" name="Drop Down 8" hidden="1">
              <a:extLst>
                <a:ext uri="{63B3BB69-23CF-44E3-9099-C40C66FF867C}">
                  <a14:compatExt spid="_x0000_s70664"/>
                </a:ext>
                <a:ext uri="{FF2B5EF4-FFF2-40B4-BE49-F238E27FC236}">
                  <a16:creationId xmlns:a16="http://schemas.microsoft.com/office/drawing/2014/main" id="{00000000-0008-0000-0000-0000081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0</xdr:colOff>
      <xdr:row>0</xdr:row>
      <xdr:rowOff>0</xdr:rowOff>
    </xdr:from>
    <xdr:to>
      <xdr:col>3</xdr:col>
      <xdr:colOff>9525</xdr:colOff>
      <xdr:row>5</xdr:row>
      <xdr:rowOff>68892</xdr:rowOff>
    </xdr:to>
    <xdr:pic>
      <xdr:nvPicPr>
        <xdr:cNvPr id="4" name="Imagen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808692" cy="103197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95250</xdr:rowOff>
        </xdr:from>
        <xdr:to>
          <xdr:col>4</xdr:col>
          <xdr:colOff>752475</xdr:colOff>
          <xdr:row>22</xdr:row>
          <xdr:rowOff>85725</xdr:rowOff>
        </xdr:to>
        <xdr:sp macro="" textlink="">
          <xdr:nvSpPr>
            <xdr:cNvPr id="70665" name="Drop Down 9" hidden="1">
              <a:extLst>
                <a:ext uri="{63B3BB69-23CF-44E3-9099-C40C66FF867C}">
                  <a14:compatExt spid="_x0000_s70665"/>
                </a:ext>
                <a:ext uri="{FF2B5EF4-FFF2-40B4-BE49-F238E27FC236}">
                  <a16:creationId xmlns:a16="http://schemas.microsoft.com/office/drawing/2014/main" id="{00000000-0008-0000-0000-0000091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38100</xdr:colOff>
          <xdr:row>19</xdr:row>
          <xdr:rowOff>95250</xdr:rowOff>
        </xdr:from>
        <xdr:to>
          <xdr:col>10</xdr:col>
          <xdr:colOff>9525</xdr:colOff>
          <xdr:row>22</xdr:row>
          <xdr:rowOff>95250</xdr:rowOff>
        </xdr:to>
        <xdr:sp macro="" textlink="">
          <xdr:nvSpPr>
            <xdr:cNvPr id="70666" name="Drop Down 10" hidden="1">
              <a:extLst>
                <a:ext uri="{63B3BB69-23CF-44E3-9099-C40C66FF867C}">
                  <a14:compatExt spid="_x0000_s70666"/>
                </a:ext>
                <a:ext uri="{FF2B5EF4-FFF2-40B4-BE49-F238E27FC236}">
                  <a16:creationId xmlns:a16="http://schemas.microsoft.com/office/drawing/2014/main" id="{00000000-0008-0000-0000-00000A1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24</xdr:row>
          <xdr:rowOff>123825</xdr:rowOff>
        </xdr:from>
        <xdr:to>
          <xdr:col>4</xdr:col>
          <xdr:colOff>742950</xdr:colOff>
          <xdr:row>27</xdr:row>
          <xdr:rowOff>114300</xdr:rowOff>
        </xdr:to>
        <xdr:sp macro="" textlink="">
          <xdr:nvSpPr>
            <xdr:cNvPr id="70667" name="Drop Down 11" hidden="1">
              <a:extLst>
                <a:ext uri="{63B3BB69-23CF-44E3-9099-C40C66FF867C}">
                  <a14:compatExt spid="_x0000_s70667"/>
                </a:ext>
                <a:ext uri="{FF2B5EF4-FFF2-40B4-BE49-F238E27FC236}">
                  <a16:creationId xmlns:a16="http://schemas.microsoft.com/office/drawing/2014/main" id="{00000000-0008-0000-0000-00000B1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29</xdr:row>
          <xdr:rowOff>95250</xdr:rowOff>
        </xdr:from>
        <xdr:to>
          <xdr:col>5</xdr:col>
          <xdr:colOff>9525</xdr:colOff>
          <xdr:row>32</xdr:row>
          <xdr:rowOff>114300</xdr:rowOff>
        </xdr:to>
        <xdr:sp macro="" textlink="">
          <xdr:nvSpPr>
            <xdr:cNvPr id="70668" name="Drop Down 12" hidden="1">
              <a:extLst>
                <a:ext uri="{63B3BB69-23CF-44E3-9099-C40C66FF867C}">
                  <a14:compatExt spid="_x0000_s70668"/>
                </a:ext>
                <a:ext uri="{FF2B5EF4-FFF2-40B4-BE49-F238E27FC236}">
                  <a16:creationId xmlns:a16="http://schemas.microsoft.com/office/drawing/2014/main" id="{00000000-0008-0000-0000-00000C1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485775</xdr:colOff>
          <xdr:row>29</xdr:row>
          <xdr:rowOff>114300</xdr:rowOff>
        </xdr:from>
        <xdr:to>
          <xdr:col>7</xdr:col>
          <xdr:colOff>390525</xdr:colOff>
          <xdr:row>32</xdr:row>
          <xdr:rowOff>28575</xdr:rowOff>
        </xdr:to>
        <xdr:sp macro="" textlink="">
          <xdr:nvSpPr>
            <xdr:cNvPr id="70669" name="Button 13" hidden="1">
              <a:extLst>
                <a:ext uri="{63B3BB69-23CF-44E3-9099-C40C66FF867C}">
                  <a14:compatExt spid="_x0000_s70669"/>
                </a:ext>
                <a:ext uri="{FF2B5EF4-FFF2-40B4-BE49-F238E27FC236}">
                  <a16:creationId xmlns:a16="http://schemas.microsoft.com/office/drawing/2014/main" id="{00000000-0008-0000-0000-00000D1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000" b="0" i="0" u="none" strike="noStrike" baseline="0">
                  <a:solidFill>
                    <a:srgbClr val="000000"/>
                  </a:solidFill>
                  <a:latin typeface="Montserrat"/>
                </a:rPr>
                <a:t>Agregar otro prestador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34</xdr:row>
          <xdr:rowOff>104775</xdr:rowOff>
        </xdr:from>
        <xdr:to>
          <xdr:col>10</xdr:col>
          <xdr:colOff>19050</xdr:colOff>
          <xdr:row>37</xdr:row>
          <xdr:rowOff>114300</xdr:rowOff>
        </xdr:to>
        <xdr:sp macro="" textlink="">
          <xdr:nvSpPr>
            <xdr:cNvPr id="70672" name="Drop Down 16" hidden="1">
              <a:extLst>
                <a:ext uri="{63B3BB69-23CF-44E3-9099-C40C66FF867C}">
                  <a14:compatExt spid="_x0000_s70672"/>
                </a:ext>
                <a:ext uri="{FF2B5EF4-FFF2-40B4-BE49-F238E27FC236}">
                  <a16:creationId xmlns:a16="http://schemas.microsoft.com/office/drawing/2014/main" id="{00000000-0008-0000-0000-0000101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723900</xdr:colOff>
          <xdr:row>29</xdr:row>
          <xdr:rowOff>114300</xdr:rowOff>
        </xdr:from>
        <xdr:to>
          <xdr:col>9</xdr:col>
          <xdr:colOff>628650</xdr:colOff>
          <xdr:row>32</xdr:row>
          <xdr:rowOff>28575</xdr:rowOff>
        </xdr:to>
        <xdr:sp macro="" textlink="">
          <xdr:nvSpPr>
            <xdr:cNvPr id="70673" name="Button 17" hidden="1">
              <a:extLst>
                <a:ext uri="{63B3BB69-23CF-44E3-9099-C40C66FF867C}">
                  <a14:compatExt spid="_x0000_s70673"/>
                </a:ext>
                <a:ext uri="{FF2B5EF4-FFF2-40B4-BE49-F238E27FC236}">
                  <a16:creationId xmlns:a16="http://schemas.microsoft.com/office/drawing/2014/main" id="{00000000-0008-0000-0000-0000111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000" b="0" i="0" u="none" strike="noStrike" baseline="0">
                  <a:solidFill>
                    <a:srgbClr val="000000"/>
                  </a:solidFill>
                  <a:latin typeface="Montserrat"/>
                </a:rPr>
                <a:t>Agregar otro servicio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266700</xdr:colOff>
          <xdr:row>11</xdr:row>
          <xdr:rowOff>104775</xdr:rowOff>
        </xdr:from>
        <xdr:to>
          <xdr:col>14</xdr:col>
          <xdr:colOff>238125</xdr:colOff>
          <xdr:row>13</xdr:row>
          <xdr:rowOff>133350</xdr:rowOff>
        </xdr:to>
        <xdr:sp macro="" textlink="">
          <xdr:nvSpPr>
            <xdr:cNvPr id="70675" name="Button 19" hidden="1">
              <a:extLst>
                <a:ext uri="{63B3BB69-23CF-44E3-9099-C40C66FF867C}">
                  <a14:compatExt spid="_x0000_s70675"/>
                </a:ext>
                <a:ext uri="{FF2B5EF4-FFF2-40B4-BE49-F238E27FC236}">
                  <a16:creationId xmlns:a16="http://schemas.microsoft.com/office/drawing/2014/main" id="{00000000-0008-0000-0000-0000131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000" b="0" i="0" u="none" strike="noStrike" baseline="0">
                  <a:solidFill>
                    <a:srgbClr val="000000"/>
                  </a:solidFill>
                  <a:latin typeface="Montserrat"/>
                </a:rPr>
                <a:t>Instructivo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266700</xdr:colOff>
          <xdr:row>15</xdr:row>
          <xdr:rowOff>28575</xdr:rowOff>
        </xdr:from>
        <xdr:to>
          <xdr:col>14</xdr:col>
          <xdr:colOff>276225</xdr:colOff>
          <xdr:row>16</xdr:row>
          <xdr:rowOff>190500</xdr:rowOff>
        </xdr:to>
        <xdr:sp macro="" textlink="">
          <xdr:nvSpPr>
            <xdr:cNvPr id="70676" name="Button 20" hidden="1">
              <a:extLst>
                <a:ext uri="{63B3BB69-23CF-44E3-9099-C40C66FF867C}">
                  <a14:compatExt spid="_x0000_s70676"/>
                </a:ext>
                <a:ext uri="{FF2B5EF4-FFF2-40B4-BE49-F238E27FC236}">
                  <a16:creationId xmlns:a16="http://schemas.microsoft.com/office/drawing/2014/main" id="{00000000-0008-0000-0000-00001414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s-MX"/>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266700</xdr:colOff>
          <xdr:row>7</xdr:row>
          <xdr:rowOff>180975</xdr:rowOff>
        </xdr:from>
        <xdr:to>
          <xdr:col>14</xdr:col>
          <xdr:colOff>238125</xdr:colOff>
          <xdr:row>10</xdr:row>
          <xdr:rowOff>19050</xdr:rowOff>
        </xdr:to>
        <xdr:sp macro="" textlink="">
          <xdr:nvSpPr>
            <xdr:cNvPr id="70677" name="Button 21" hidden="1">
              <a:extLst>
                <a:ext uri="{63B3BB69-23CF-44E3-9099-C40C66FF867C}">
                  <a14:compatExt spid="_x0000_s70677"/>
                </a:ext>
                <a:ext uri="{FF2B5EF4-FFF2-40B4-BE49-F238E27FC236}">
                  <a16:creationId xmlns:a16="http://schemas.microsoft.com/office/drawing/2014/main" id="{00000000-0008-0000-0000-0000151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000" b="0" i="0" u="none" strike="noStrike" baseline="0">
                  <a:solidFill>
                    <a:srgbClr val="000000"/>
                  </a:solidFill>
                  <a:latin typeface="Montserrat"/>
                </a:rPr>
                <a:t>Actualiza prestadores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266700</xdr:colOff>
          <xdr:row>4</xdr:row>
          <xdr:rowOff>95250</xdr:rowOff>
        </xdr:from>
        <xdr:to>
          <xdr:col>14</xdr:col>
          <xdr:colOff>238125</xdr:colOff>
          <xdr:row>6</xdr:row>
          <xdr:rowOff>95250</xdr:rowOff>
        </xdr:to>
        <xdr:sp macro="" textlink="">
          <xdr:nvSpPr>
            <xdr:cNvPr id="70678" name="Button 22" hidden="1">
              <a:extLst>
                <a:ext uri="{63B3BB69-23CF-44E3-9099-C40C66FF867C}">
                  <a14:compatExt spid="_x0000_s70678"/>
                </a:ext>
                <a:ext uri="{FF2B5EF4-FFF2-40B4-BE49-F238E27FC236}">
                  <a16:creationId xmlns:a16="http://schemas.microsoft.com/office/drawing/2014/main" id="{00000000-0008-0000-0000-0000161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000" b="0" i="0" u="none" strike="noStrike" baseline="0">
                  <a:solidFill>
                    <a:srgbClr val="000000"/>
                  </a:solidFill>
                  <a:latin typeface="Montserrat"/>
                </a:rPr>
                <a:t>Limpia campos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619125</xdr:colOff>
      <xdr:row>8</xdr:row>
      <xdr:rowOff>790575</xdr:rowOff>
    </xdr:from>
    <xdr:to>
      <xdr:col>11</xdr:col>
      <xdr:colOff>76200</xdr:colOff>
      <xdr:row>11</xdr:row>
      <xdr:rowOff>76200</xdr:rowOff>
    </xdr:to>
    <xdr:sp macro="" textlink="">
      <xdr:nvSpPr>
        <xdr:cNvPr id="5" name="CuadroTexto 115971">
          <a:extLst>
            <a:ext uri="{FF2B5EF4-FFF2-40B4-BE49-F238E27FC236}">
              <a16:creationId xmlns:a16="http://schemas.microsoft.com/office/drawing/2014/main" id="{00000000-0008-0000-0200-000005000000}"/>
            </a:ext>
          </a:extLst>
        </xdr:cNvPr>
        <xdr:cNvSpPr txBox="1"/>
      </xdr:nvSpPr>
      <xdr:spPr>
        <a:xfrm>
          <a:off x="11953875" y="3533775"/>
          <a:ext cx="981075" cy="619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050">
              <a:latin typeface="Montserrat" panose="00000500000000000000" pitchFamily="2" charset="0"/>
            </a:rPr>
            <a:t>Proceso operativo Art 46</a:t>
          </a:r>
          <a:r>
            <a:rPr lang="es-MX" sz="1050" baseline="0">
              <a:latin typeface="Montserrat" panose="00000500000000000000" pitchFamily="2" charset="0"/>
            </a:rPr>
            <a:t> LIC</a:t>
          </a:r>
          <a:endParaRPr lang="es-MX" sz="1050">
            <a:latin typeface="Montserrat" panose="00000500000000000000" pitchFamily="2" charset="0"/>
          </a:endParaRPr>
        </a:p>
      </xdr:txBody>
    </xdr:sp>
    <xdr:clientData/>
  </xdr:twoCellAnchor>
  <xdr:twoCellAnchor>
    <xdr:from>
      <xdr:col>18</xdr:col>
      <xdr:colOff>581025</xdr:colOff>
      <xdr:row>12</xdr:row>
      <xdr:rowOff>295275</xdr:rowOff>
    </xdr:from>
    <xdr:to>
      <xdr:col>19</xdr:col>
      <xdr:colOff>714375</xdr:colOff>
      <xdr:row>13</xdr:row>
      <xdr:rowOff>180975</xdr:rowOff>
    </xdr:to>
    <xdr:sp macro="" textlink="">
      <xdr:nvSpPr>
        <xdr:cNvPr id="4" name="CuadroTexto 115972">
          <a:extLst>
            <a:ext uri="{FF2B5EF4-FFF2-40B4-BE49-F238E27FC236}">
              <a16:creationId xmlns:a16="http://schemas.microsoft.com/office/drawing/2014/main" id="{00000000-0008-0000-0200-000004000000}"/>
            </a:ext>
          </a:extLst>
        </xdr:cNvPr>
        <xdr:cNvSpPr txBox="1"/>
      </xdr:nvSpPr>
      <xdr:spPr>
        <a:xfrm>
          <a:off x="18773775" y="4943475"/>
          <a:ext cx="895350" cy="266700"/>
        </a:xfrm>
        <a:prstGeom prst="rect">
          <a:avLst/>
        </a:prstGeom>
        <a:solidFill>
          <a:schemeClr val="bg2">
            <a:lumMod val="90000"/>
          </a:schemeClr>
        </a:solidFill>
        <a:ln w="19050" cmpd="sng">
          <a:solidFill>
            <a:schemeClr val="bg1">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050">
              <a:latin typeface="Montserrat" panose="00000500000000000000" pitchFamily="2" charset="0"/>
            </a:rPr>
            <a:t>Continuar</a:t>
          </a:r>
        </a:p>
      </xdr:txBody>
    </xdr:sp>
    <xdr:clientData/>
  </xdr:twoCellAnchor>
  <xdr:twoCellAnchor>
    <xdr:from>
      <xdr:col>21</xdr:col>
      <xdr:colOff>133351</xdr:colOff>
      <xdr:row>11</xdr:row>
      <xdr:rowOff>247651</xdr:rowOff>
    </xdr:from>
    <xdr:to>
      <xdr:col>22</xdr:col>
      <xdr:colOff>228601</xdr:colOff>
      <xdr:row>11</xdr:row>
      <xdr:rowOff>476251</xdr:rowOff>
    </xdr:to>
    <xdr:sp macro="" textlink="">
      <xdr:nvSpPr>
        <xdr:cNvPr id="115974" name="CuadroTexto 115973">
          <a:extLst>
            <a:ext uri="{FF2B5EF4-FFF2-40B4-BE49-F238E27FC236}">
              <a16:creationId xmlns:a16="http://schemas.microsoft.com/office/drawing/2014/main" id="{00000000-0008-0000-0200-000006C50100}"/>
            </a:ext>
          </a:extLst>
        </xdr:cNvPr>
        <xdr:cNvSpPr txBox="1"/>
      </xdr:nvSpPr>
      <xdr:spPr>
        <a:xfrm>
          <a:off x="20612101" y="4324351"/>
          <a:ext cx="857250" cy="228600"/>
        </a:xfrm>
        <a:prstGeom prst="rect">
          <a:avLst/>
        </a:prstGeom>
        <a:solidFill>
          <a:schemeClr val="bg2">
            <a:lumMod val="90000"/>
          </a:schemeClr>
        </a:solidFill>
        <a:ln w="19050" cmpd="sng">
          <a:solidFill>
            <a:schemeClr val="bg1">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050">
              <a:latin typeface="Montserrat" panose="00000500000000000000" pitchFamily="2" charset="0"/>
            </a:rPr>
            <a:t>Continuar</a:t>
          </a:r>
        </a:p>
      </xdr:txBody>
    </xdr:sp>
    <xdr:clientData/>
  </xdr:twoCellAnchor>
  <xdr:twoCellAnchor>
    <xdr:from>
      <xdr:col>16</xdr:col>
      <xdr:colOff>714375</xdr:colOff>
      <xdr:row>22</xdr:row>
      <xdr:rowOff>152400</xdr:rowOff>
    </xdr:from>
    <xdr:to>
      <xdr:col>18</xdr:col>
      <xdr:colOff>342900</xdr:colOff>
      <xdr:row>24</xdr:row>
      <xdr:rowOff>0</xdr:rowOff>
    </xdr:to>
    <xdr:sp macro="" textlink="">
      <xdr:nvSpPr>
        <xdr:cNvPr id="115975" name="CuadroTexto 115974">
          <a:extLst>
            <a:ext uri="{FF2B5EF4-FFF2-40B4-BE49-F238E27FC236}">
              <a16:creationId xmlns:a16="http://schemas.microsoft.com/office/drawing/2014/main" id="{00000000-0008-0000-0200-000007C50100}"/>
            </a:ext>
          </a:extLst>
        </xdr:cNvPr>
        <xdr:cNvSpPr txBox="1"/>
      </xdr:nvSpPr>
      <xdr:spPr>
        <a:xfrm>
          <a:off x="17383125" y="9182100"/>
          <a:ext cx="1152525" cy="228600"/>
        </a:xfrm>
        <a:prstGeom prst="rect">
          <a:avLst/>
        </a:prstGeom>
        <a:solidFill>
          <a:schemeClr val="bg2">
            <a:lumMod val="90000"/>
          </a:schemeClr>
        </a:solidFill>
        <a:ln w="19050" cmpd="sng">
          <a:solidFill>
            <a:schemeClr val="bg1">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050">
              <a:latin typeface="Montserrat" panose="00000500000000000000" pitchFamily="2" charset="0"/>
            </a:rPr>
            <a:t>Guardar</a:t>
          </a:r>
          <a:r>
            <a:rPr lang="es-MX" sz="1050" baseline="0">
              <a:latin typeface="Montserrat" panose="00000500000000000000" pitchFamily="2" charset="0"/>
            </a:rPr>
            <a:t> </a:t>
          </a:r>
          <a:r>
            <a:rPr lang="es-MX" sz="1050">
              <a:latin typeface="Montserrat" panose="00000500000000000000" pitchFamily="2" charset="0"/>
            </a:rPr>
            <a:t>datos</a:t>
          </a:r>
        </a:p>
      </xdr:txBody>
    </xdr:sp>
    <xdr:clientData/>
  </xdr:twoCellAnchor>
  <xdr:twoCellAnchor>
    <xdr:from>
      <xdr:col>20</xdr:col>
      <xdr:colOff>352425</xdr:colOff>
      <xdr:row>22</xdr:row>
      <xdr:rowOff>114300</xdr:rowOff>
    </xdr:from>
    <xdr:to>
      <xdr:col>22</xdr:col>
      <xdr:colOff>9525</xdr:colOff>
      <xdr:row>24</xdr:row>
      <xdr:rowOff>19050</xdr:rowOff>
    </xdr:to>
    <xdr:sp macro="" textlink="">
      <xdr:nvSpPr>
        <xdr:cNvPr id="115976" name="CuadroTexto 115975">
          <a:extLst>
            <a:ext uri="{FF2B5EF4-FFF2-40B4-BE49-F238E27FC236}">
              <a16:creationId xmlns:a16="http://schemas.microsoft.com/office/drawing/2014/main" id="{00000000-0008-0000-0200-000008C50100}"/>
            </a:ext>
          </a:extLst>
        </xdr:cNvPr>
        <xdr:cNvSpPr txBox="1"/>
      </xdr:nvSpPr>
      <xdr:spPr>
        <a:xfrm>
          <a:off x="20069175" y="9144000"/>
          <a:ext cx="1181100" cy="285750"/>
        </a:xfrm>
        <a:prstGeom prst="rect">
          <a:avLst/>
        </a:prstGeom>
        <a:solidFill>
          <a:schemeClr val="bg2">
            <a:lumMod val="90000"/>
          </a:schemeClr>
        </a:solidFill>
        <a:ln w="19050" cmpd="sng">
          <a:solidFill>
            <a:schemeClr val="bg1">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050">
              <a:latin typeface="Montserrat" panose="00000500000000000000" pitchFamily="2" charset="0"/>
            </a:rPr>
            <a:t>Guardar</a:t>
          </a:r>
          <a:r>
            <a:rPr lang="es-MX" sz="1050" baseline="0">
              <a:latin typeface="Montserrat" panose="00000500000000000000" pitchFamily="2" charset="0"/>
            </a:rPr>
            <a:t> </a:t>
          </a:r>
          <a:r>
            <a:rPr lang="es-MX" sz="1050">
              <a:latin typeface="Montserrat" panose="00000500000000000000" pitchFamily="2" charset="0"/>
            </a:rPr>
            <a:t>datos</a:t>
          </a:r>
        </a:p>
      </xdr:txBody>
    </xdr:sp>
    <xdr:clientData/>
  </xdr:twoCellAnchor>
  <xdr:twoCellAnchor>
    <xdr:from>
      <xdr:col>13</xdr:col>
      <xdr:colOff>457200</xdr:colOff>
      <xdr:row>11</xdr:row>
      <xdr:rowOff>76200</xdr:rowOff>
    </xdr:from>
    <xdr:to>
      <xdr:col>14</xdr:col>
      <xdr:colOff>676275</xdr:colOff>
      <xdr:row>12</xdr:row>
      <xdr:rowOff>123825</xdr:rowOff>
    </xdr:to>
    <xdr:sp macro="" textlink="">
      <xdr:nvSpPr>
        <xdr:cNvPr id="7" name="CuadroTexto 115976">
          <a:extLst>
            <a:ext uri="{FF2B5EF4-FFF2-40B4-BE49-F238E27FC236}">
              <a16:creationId xmlns:a16="http://schemas.microsoft.com/office/drawing/2014/main" id="{00000000-0008-0000-0200-000007000000}"/>
            </a:ext>
          </a:extLst>
        </xdr:cNvPr>
        <xdr:cNvSpPr txBox="1"/>
      </xdr:nvSpPr>
      <xdr:spPr>
        <a:xfrm>
          <a:off x="14839950" y="4152900"/>
          <a:ext cx="981075" cy="619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050">
              <a:latin typeface="Montserrat" panose="00000500000000000000" pitchFamily="2" charset="0"/>
            </a:rPr>
            <a:t>Servicio</a:t>
          </a:r>
          <a:r>
            <a:rPr lang="es-MX" sz="1050" baseline="0">
              <a:latin typeface="Montserrat" panose="00000500000000000000" pitchFamily="2" charset="0"/>
            </a:rPr>
            <a:t> extranjero y filial</a:t>
          </a:r>
          <a:endParaRPr lang="es-MX" sz="1050">
            <a:latin typeface="Montserrat" panose="00000500000000000000" pitchFamily="2" charset="0"/>
          </a:endParaRPr>
        </a:p>
      </xdr:txBody>
    </xdr:sp>
    <xdr:clientData/>
  </xdr:twoCellAnchor>
  <xdr:twoCellAnchor>
    <xdr:from>
      <xdr:col>13</xdr:col>
      <xdr:colOff>485775</xdr:colOff>
      <xdr:row>13</xdr:row>
      <xdr:rowOff>533400</xdr:rowOff>
    </xdr:from>
    <xdr:to>
      <xdr:col>14</xdr:col>
      <xdr:colOff>704850</xdr:colOff>
      <xdr:row>14</xdr:row>
      <xdr:rowOff>200025</xdr:rowOff>
    </xdr:to>
    <xdr:sp macro="" textlink="">
      <xdr:nvSpPr>
        <xdr:cNvPr id="8" name="CuadroTexto 115977">
          <a:extLst>
            <a:ext uri="{FF2B5EF4-FFF2-40B4-BE49-F238E27FC236}">
              <a16:creationId xmlns:a16="http://schemas.microsoft.com/office/drawing/2014/main" id="{00000000-0008-0000-0200-000008000000}"/>
            </a:ext>
          </a:extLst>
        </xdr:cNvPr>
        <xdr:cNvSpPr txBox="1"/>
      </xdr:nvSpPr>
      <xdr:spPr>
        <a:xfrm>
          <a:off x="14868525" y="5562600"/>
          <a:ext cx="981075" cy="619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050">
              <a:latin typeface="Montserrat" panose="00000500000000000000" pitchFamily="2" charset="0"/>
            </a:rPr>
            <a:t>Servicio</a:t>
          </a:r>
          <a:r>
            <a:rPr lang="es-MX" sz="1050" baseline="0">
              <a:latin typeface="Montserrat" panose="00000500000000000000" pitchFamily="2" charset="0"/>
            </a:rPr>
            <a:t> extranjero y no filial</a:t>
          </a:r>
          <a:endParaRPr lang="es-MX" sz="1050">
            <a:latin typeface="Montserrat" panose="00000500000000000000" pitchFamily="2" charset="0"/>
          </a:endParaRPr>
        </a:p>
      </xdr:txBody>
    </xdr:sp>
    <xdr:clientData/>
  </xdr:twoCellAnchor>
  <xdr:twoCellAnchor>
    <xdr:from>
      <xdr:col>21</xdr:col>
      <xdr:colOff>361950</xdr:colOff>
      <xdr:row>3</xdr:row>
      <xdr:rowOff>95249</xdr:rowOff>
    </xdr:from>
    <xdr:to>
      <xdr:col>23</xdr:col>
      <xdr:colOff>228600</xdr:colOff>
      <xdr:row>5</xdr:row>
      <xdr:rowOff>295274</xdr:rowOff>
    </xdr:to>
    <xdr:sp macro="" textlink="">
      <xdr:nvSpPr>
        <xdr:cNvPr id="14" name="CuadroTexto 115978">
          <a:extLst>
            <a:ext uri="{FF2B5EF4-FFF2-40B4-BE49-F238E27FC236}">
              <a16:creationId xmlns:a16="http://schemas.microsoft.com/office/drawing/2014/main" id="{00000000-0008-0000-0200-00000E000000}"/>
            </a:ext>
          </a:extLst>
        </xdr:cNvPr>
        <xdr:cNvSpPr txBox="1"/>
      </xdr:nvSpPr>
      <xdr:spPr>
        <a:xfrm>
          <a:off x="20840700" y="1123949"/>
          <a:ext cx="1390650" cy="771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050">
              <a:latin typeface="Montserrat" panose="00000500000000000000" pitchFamily="2" charset="0"/>
            </a:rPr>
            <a:t>Servicio</a:t>
          </a:r>
          <a:r>
            <a:rPr lang="es-MX" sz="1050" baseline="0">
              <a:latin typeface="Montserrat" panose="00000500000000000000" pitchFamily="2" charset="0"/>
            </a:rPr>
            <a:t> nacional y subsidiaria o empresa relacionada</a:t>
          </a:r>
          <a:endParaRPr lang="es-MX" sz="1050">
            <a:latin typeface="Montserrat" panose="00000500000000000000" pitchFamily="2" charset="0"/>
          </a:endParaRPr>
        </a:p>
      </xdr:txBody>
    </xdr:sp>
    <xdr:clientData/>
  </xdr:twoCellAnchor>
  <xdr:twoCellAnchor>
    <xdr:from>
      <xdr:col>17</xdr:col>
      <xdr:colOff>609599</xdr:colOff>
      <xdr:row>3</xdr:row>
      <xdr:rowOff>104774</xdr:rowOff>
    </xdr:from>
    <xdr:to>
      <xdr:col>20</xdr:col>
      <xdr:colOff>47624</xdr:colOff>
      <xdr:row>5</xdr:row>
      <xdr:rowOff>304799</xdr:rowOff>
    </xdr:to>
    <xdr:sp macro="" textlink="">
      <xdr:nvSpPr>
        <xdr:cNvPr id="17" name="CuadroTexto 115979">
          <a:extLst>
            <a:ext uri="{FF2B5EF4-FFF2-40B4-BE49-F238E27FC236}">
              <a16:creationId xmlns:a16="http://schemas.microsoft.com/office/drawing/2014/main" id="{00000000-0008-0000-0200-000011000000}"/>
            </a:ext>
          </a:extLst>
        </xdr:cNvPr>
        <xdr:cNvSpPr txBox="1"/>
      </xdr:nvSpPr>
      <xdr:spPr>
        <a:xfrm>
          <a:off x="18040349" y="1133474"/>
          <a:ext cx="1724025" cy="771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050">
              <a:latin typeface="Montserrat" panose="00000500000000000000" pitchFamily="2" charset="0"/>
            </a:rPr>
            <a:t>Servicio</a:t>
          </a:r>
          <a:r>
            <a:rPr lang="es-MX" sz="1050" baseline="0">
              <a:latin typeface="Montserrat" panose="00000500000000000000" pitchFamily="2" charset="0"/>
            </a:rPr>
            <a:t> nacional y entidad financiera o contratación directa</a:t>
          </a:r>
          <a:endParaRPr lang="es-MX" sz="1050">
            <a:latin typeface="Montserrat" panose="00000500000000000000" pitchFamily="2" charset="0"/>
          </a:endParaRPr>
        </a:p>
      </xdr:txBody>
    </xdr:sp>
    <xdr:clientData/>
  </xdr:twoCellAnchor>
  <xdr:twoCellAnchor editAs="oneCell">
    <xdr:from>
      <xdr:col>0</xdr:col>
      <xdr:colOff>0</xdr:colOff>
      <xdr:row>0</xdr:row>
      <xdr:rowOff>0</xdr:rowOff>
    </xdr:from>
    <xdr:to>
      <xdr:col>2</xdr:col>
      <xdr:colOff>161925</xdr:colOff>
      <xdr:row>3</xdr:row>
      <xdr:rowOff>2217</xdr:rowOff>
    </xdr:to>
    <xdr:pic>
      <xdr:nvPicPr>
        <xdr:cNvPr id="2" name="Imagen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809750" cy="1030917"/>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95250</xdr:colOff>
          <xdr:row>1</xdr:row>
          <xdr:rowOff>95250</xdr:rowOff>
        </xdr:from>
        <xdr:to>
          <xdr:col>4</xdr:col>
          <xdr:colOff>342900</xdr:colOff>
          <xdr:row>1</xdr:row>
          <xdr:rowOff>495300</xdr:rowOff>
        </xdr:to>
        <xdr:sp macro="" textlink="">
          <xdr:nvSpPr>
            <xdr:cNvPr id="115713" name="Button 1" hidden="1">
              <a:extLst>
                <a:ext uri="{63B3BB69-23CF-44E3-9099-C40C66FF867C}">
                  <a14:compatExt spid="_x0000_s115713"/>
                </a:ext>
                <a:ext uri="{FF2B5EF4-FFF2-40B4-BE49-F238E27FC236}">
                  <a16:creationId xmlns:a16="http://schemas.microsoft.com/office/drawing/2014/main" id="{00000000-0008-0000-0200-000001C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000" b="0" i="0" u="none" strike="noStrike" baseline="0">
                  <a:solidFill>
                    <a:srgbClr val="000000"/>
                  </a:solidFill>
                  <a:latin typeface="Montserrat"/>
                </a:rPr>
                <a:t>Regresar</a:t>
              </a:r>
            </a:p>
          </xdr:txBody>
        </xdr:sp>
        <xdr:clientData fPrintsWithSheet="0"/>
      </xdr:twoCellAnchor>
    </mc:Choice>
    <mc:Fallback/>
  </mc:AlternateContent>
  <xdr:twoCellAnchor>
    <xdr:from>
      <xdr:col>6</xdr:col>
      <xdr:colOff>233362</xdr:colOff>
      <xdr:row>3</xdr:row>
      <xdr:rowOff>186690</xdr:rowOff>
    </xdr:from>
    <xdr:to>
      <xdr:col>8</xdr:col>
      <xdr:colOff>509587</xdr:colOff>
      <xdr:row>6</xdr:row>
      <xdr:rowOff>53340</xdr:rowOff>
    </xdr:to>
    <xdr:sp macro="" textlink="">
      <xdr:nvSpPr>
        <xdr:cNvPr id="9" name="Rectángulo 8">
          <a:extLst>
            <a:ext uri="{FF2B5EF4-FFF2-40B4-BE49-F238E27FC236}">
              <a16:creationId xmlns:a16="http://schemas.microsoft.com/office/drawing/2014/main" id="{00000000-0008-0000-0200-000009000000}"/>
            </a:ext>
          </a:extLst>
        </xdr:cNvPr>
        <xdr:cNvSpPr/>
      </xdr:nvSpPr>
      <xdr:spPr>
        <a:xfrm>
          <a:off x="9282112" y="1215390"/>
          <a:ext cx="1800225" cy="819150"/>
        </a:xfrm>
        <a:prstGeom prst="rect">
          <a:avLst/>
        </a:prstGeom>
        <a:solidFill>
          <a:srgbClr val="31869B"/>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400" b="0">
              <a:latin typeface="Montserrat" panose="00000500000000000000" pitchFamily="2" charset="0"/>
            </a:rPr>
            <a:t>Llenado</a:t>
          </a:r>
          <a:r>
            <a:rPr lang="es-MX" sz="1400" b="0" baseline="0">
              <a:latin typeface="Montserrat" panose="00000500000000000000" pitchFamily="2" charset="0"/>
            </a:rPr>
            <a:t> de "Registro del asunto a evaluar"</a:t>
          </a:r>
          <a:endParaRPr lang="es-MX" sz="1400" b="0">
            <a:latin typeface="Montserrat" panose="00000500000000000000" pitchFamily="2" charset="0"/>
          </a:endParaRPr>
        </a:p>
      </xdr:txBody>
    </xdr:sp>
    <xdr:clientData/>
  </xdr:twoCellAnchor>
  <xdr:twoCellAnchor>
    <xdr:from>
      <xdr:col>5</xdr:col>
      <xdr:colOff>547687</xdr:colOff>
      <xdr:row>10</xdr:row>
      <xdr:rowOff>144780</xdr:rowOff>
    </xdr:from>
    <xdr:to>
      <xdr:col>9</xdr:col>
      <xdr:colOff>195262</xdr:colOff>
      <xdr:row>11</xdr:row>
      <xdr:rowOff>1685925</xdr:rowOff>
    </xdr:to>
    <xdr:sp macro="" textlink="">
      <xdr:nvSpPr>
        <xdr:cNvPr id="16" name="Diagrama de flujo: decisión 15">
          <a:extLst>
            <a:ext uri="{FF2B5EF4-FFF2-40B4-BE49-F238E27FC236}">
              <a16:creationId xmlns:a16="http://schemas.microsoft.com/office/drawing/2014/main" id="{00000000-0008-0000-0200-000010000000}"/>
            </a:ext>
          </a:extLst>
        </xdr:cNvPr>
        <xdr:cNvSpPr/>
      </xdr:nvSpPr>
      <xdr:spPr>
        <a:xfrm>
          <a:off x="8834437" y="3268980"/>
          <a:ext cx="2695575" cy="1731645"/>
        </a:xfrm>
        <a:prstGeom prst="flowChartDecision">
          <a:avLst/>
        </a:prstGeom>
        <a:solidFill>
          <a:srgbClr val="31869B"/>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400" b="0">
              <a:latin typeface="Montserrat" panose="00000500000000000000" pitchFamily="2" charset="0"/>
            </a:rPr>
            <a:t>¿Qué</a:t>
          </a:r>
          <a:r>
            <a:rPr lang="es-MX" sz="1400" b="0" baseline="0">
              <a:latin typeface="Montserrat" panose="00000500000000000000" pitchFamily="2" charset="0"/>
            </a:rPr>
            <a:t> tipo de servicio es?</a:t>
          </a:r>
          <a:endParaRPr lang="es-MX" sz="1400" b="0">
            <a:latin typeface="Montserrat" panose="00000500000000000000" pitchFamily="2" charset="0"/>
          </a:endParaRPr>
        </a:p>
      </xdr:txBody>
    </xdr:sp>
    <xdr:clientData/>
  </xdr:twoCellAnchor>
  <xdr:twoCellAnchor>
    <xdr:from>
      <xdr:col>5</xdr:col>
      <xdr:colOff>733424</xdr:colOff>
      <xdr:row>14</xdr:row>
      <xdr:rowOff>504826</xdr:rowOff>
    </xdr:from>
    <xdr:to>
      <xdr:col>9</xdr:col>
      <xdr:colOff>295274</xdr:colOff>
      <xdr:row>15</xdr:row>
      <xdr:rowOff>704850</xdr:rowOff>
    </xdr:to>
    <xdr:sp macro="" textlink="">
      <xdr:nvSpPr>
        <xdr:cNvPr id="25" name="Diagrama de flujo: decisión 24">
          <a:extLst>
            <a:ext uri="{FF2B5EF4-FFF2-40B4-BE49-F238E27FC236}">
              <a16:creationId xmlns:a16="http://schemas.microsoft.com/office/drawing/2014/main" id="{00000000-0008-0000-0200-000019000000}"/>
            </a:ext>
          </a:extLst>
        </xdr:cNvPr>
        <xdr:cNvSpPr/>
      </xdr:nvSpPr>
      <xdr:spPr>
        <a:xfrm>
          <a:off x="9020174" y="6486526"/>
          <a:ext cx="2609850" cy="1152524"/>
        </a:xfrm>
        <a:prstGeom prst="flowChartDecision">
          <a:avLst/>
        </a:prstGeom>
        <a:solidFill>
          <a:srgbClr val="31869B"/>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400" b="0">
              <a:latin typeface="Montserrat" panose="00000500000000000000" pitchFamily="2" charset="0"/>
            </a:rPr>
            <a:t>Lista de excepciones</a:t>
          </a:r>
          <a:endParaRPr lang="es-MX" sz="1400" b="0" baseline="0">
            <a:latin typeface="Montserrat" panose="00000500000000000000" pitchFamily="2" charset="0"/>
          </a:endParaRPr>
        </a:p>
      </xdr:txBody>
    </xdr:sp>
    <xdr:clientData/>
  </xdr:twoCellAnchor>
  <xdr:twoCellAnchor>
    <xdr:from>
      <xdr:col>7</xdr:col>
      <xdr:colOff>371476</xdr:colOff>
      <xdr:row>11</xdr:row>
      <xdr:rowOff>1685924</xdr:rowOff>
    </xdr:from>
    <xdr:to>
      <xdr:col>7</xdr:col>
      <xdr:colOff>514350</xdr:colOff>
      <xdr:row>14</xdr:row>
      <xdr:rowOff>504825</xdr:rowOff>
    </xdr:to>
    <xdr:cxnSp macro="">
      <xdr:nvCxnSpPr>
        <xdr:cNvPr id="29" name="Conector: angular 28">
          <a:extLst>
            <a:ext uri="{FF2B5EF4-FFF2-40B4-BE49-F238E27FC236}">
              <a16:creationId xmlns:a16="http://schemas.microsoft.com/office/drawing/2014/main" id="{00000000-0008-0000-0200-00001D000000}"/>
            </a:ext>
          </a:extLst>
        </xdr:cNvPr>
        <xdr:cNvCxnSpPr>
          <a:stCxn id="16" idx="2"/>
          <a:endCxn id="25" idx="0"/>
        </xdr:cNvCxnSpPr>
      </xdr:nvCxnSpPr>
      <xdr:spPr>
        <a:xfrm rot="16200000" flipH="1">
          <a:off x="9034462" y="6148388"/>
          <a:ext cx="2438401" cy="142874"/>
        </a:xfrm>
        <a:prstGeom prst="bentConnector3">
          <a:avLst>
            <a:gd name="adj1" fmla="val 50000"/>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676274</xdr:colOff>
      <xdr:row>0</xdr:row>
      <xdr:rowOff>180975</xdr:rowOff>
    </xdr:from>
    <xdr:to>
      <xdr:col>8</xdr:col>
      <xdr:colOff>66674</xdr:colOff>
      <xdr:row>1</xdr:row>
      <xdr:rowOff>514350</xdr:rowOff>
    </xdr:to>
    <xdr:sp macro="" textlink="">
      <xdr:nvSpPr>
        <xdr:cNvPr id="115712" name="Rectángulo: esquinas redondeadas 115711">
          <a:extLst>
            <a:ext uri="{FF2B5EF4-FFF2-40B4-BE49-F238E27FC236}">
              <a16:creationId xmlns:a16="http://schemas.microsoft.com/office/drawing/2014/main" id="{00000000-0008-0000-0200-000000C40100}"/>
            </a:ext>
          </a:extLst>
        </xdr:cNvPr>
        <xdr:cNvSpPr/>
      </xdr:nvSpPr>
      <xdr:spPr>
        <a:xfrm>
          <a:off x="9725024" y="180975"/>
          <a:ext cx="914400" cy="523875"/>
        </a:xfrm>
        <a:prstGeom prst="roundRect">
          <a:avLst/>
        </a:prstGeom>
        <a:solidFill>
          <a:srgbClr val="31869B"/>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400">
              <a:latin typeface="Montserrat" panose="00000500000000000000" pitchFamily="2" charset="0"/>
            </a:rPr>
            <a:t>Inicio</a:t>
          </a:r>
        </a:p>
      </xdr:txBody>
    </xdr:sp>
    <xdr:clientData/>
  </xdr:twoCellAnchor>
  <xdr:twoCellAnchor>
    <xdr:from>
      <xdr:col>5</xdr:col>
      <xdr:colOff>514350</xdr:colOff>
      <xdr:row>23</xdr:row>
      <xdr:rowOff>142875</xdr:rowOff>
    </xdr:from>
    <xdr:to>
      <xdr:col>8</xdr:col>
      <xdr:colOff>28575</xdr:colOff>
      <xdr:row>28</xdr:row>
      <xdr:rowOff>9525</xdr:rowOff>
    </xdr:to>
    <xdr:sp macro="" textlink="">
      <xdr:nvSpPr>
        <xdr:cNvPr id="115720" name="Rectángulo 115719">
          <a:extLst>
            <a:ext uri="{FF2B5EF4-FFF2-40B4-BE49-F238E27FC236}">
              <a16:creationId xmlns:a16="http://schemas.microsoft.com/office/drawing/2014/main" id="{00000000-0008-0000-0200-000008C40100}"/>
            </a:ext>
          </a:extLst>
        </xdr:cNvPr>
        <xdr:cNvSpPr/>
      </xdr:nvSpPr>
      <xdr:spPr>
        <a:xfrm>
          <a:off x="8801100" y="9363075"/>
          <a:ext cx="1800225" cy="819150"/>
        </a:xfrm>
        <a:prstGeom prst="rect">
          <a:avLst/>
        </a:prstGeom>
        <a:solidFill>
          <a:srgbClr val="31869B"/>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400" b="0">
              <a:latin typeface="Montserrat" panose="00000500000000000000" pitchFamily="2" charset="0"/>
            </a:rPr>
            <a:t>Llenado</a:t>
          </a:r>
          <a:r>
            <a:rPr lang="es-MX" sz="1400" b="0" baseline="0">
              <a:latin typeface="Montserrat" panose="00000500000000000000" pitchFamily="2" charset="0"/>
            </a:rPr>
            <a:t> de "Aspectos Admon-ope"</a:t>
          </a:r>
          <a:endParaRPr lang="es-MX" sz="1400" b="0">
            <a:latin typeface="Montserrat" panose="00000500000000000000" pitchFamily="2" charset="0"/>
          </a:endParaRPr>
        </a:p>
      </xdr:txBody>
    </xdr:sp>
    <xdr:clientData/>
  </xdr:twoCellAnchor>
  <xdr:twoCellAnchor>
    <xdr:from>
      <xdr:col>10</xdr:col>
      <xdr:colOff>542925</xdr:colOff>
      <xdr:row>14</xdr:row>
      <xdr:rowOff>447675</xdr:rowOff>
    </xdr:from>
    <xdr:to>
      <xdr:col>13</xdr:col>
      <xdr:colOff>57150</xdr:colOff>
      <xdr:row>15</xdr:row>
      <xdr:rowOff>314325</xdr:rowOff>
    </xdr:to>
    <xdr:sp macro="" textlink="">
      <xdr:nvSpPr>
        <xdr:cNvPr id="115721" name="Rectángulo 115720">
          <a:extLst>
            <a:ext uri="{FF2B5EF4-FFF2-40B4-BE49-F238E27FC236}">
              <a16:creationId xmlns:a16="http://schemas.microsoft.com/office/drawing/2014/main" id="{00000000-0008-0000-0200-000009C40100}"/>
            </a:ext>
          </a:extLst>
        </xdr:cNvPr>
        <xdr:cNvSpPr/>
      </xdr:nvSpPr>
      <xdr:spPr>
        <a:xfrm>
          <a:off x="12639675" y="6429375"/>
          <a:ext cx="1800225" cy="819150"/>
        </a:xfrm>
        <a:prstGeom prst="rect">
          <a:avLst/>
        </a:prstGeom>
        <a:solidFill>
          <a:srgbClr val="31869B"/>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400" b="0">
              <a:latin typeface="Montserrat" panose="00000500000000000000" pitchFamily="2" charset="0"/>
            </a:rPr>
            <a:t>Llenado</a:t>
          </a:r>
          <a:r>
            <a:rPr lang="es-MX" sz="1400" b="0" baseline="0">
              <a:latin typeface="Montserrat" panose="00000500000000000000" pitchFamily="2" charset="0"/>
            </a:rPr>
            <a:t> de "Requerimientos de excepciones"</a:t>
          </a:r>
          <a:endParaRPr lang="es-MX" sz="1400" b="0">
            <a:latin typeface="Montserrat" panose="00000500000000000000" pitchFamily="2" charset="0"/>
          </a:endParaRPr>
        </a:p>
      </xdr:txBody>
    </xdr:sp>
    <xdr:clientData/>
  </xdr:twoCellAnchor>
  <xdr:twoCellAnchor>
    <xdr:from>
      <xdr:col>17</xdr:col>
      <xdr:colOff>657224</xdr:colOff>
      <xdr:row>26</xdr:row>
      <xdr:rowOff>76200</xdr:rowOff>
    </xdr:from>
    <xdr:to>
      <xdr:col>19</xdr:col>
      <xdr:colOff>609599</xdr:colOff>
      <xdr:row>29</xdr:row>
      <xdr:rowOff>152400</xdr:rowOff>
    </xdr:to>
    <xdr:sp macro="" textlink="">
      <xdr:nvSpPr>
        <xdr:cNvPr id="115722" name="Rectángulo: esquinas redondeadas 115721">
          <a:extLst>
            <a:ext uri="{FF2B5EF4-FFF2-40B4-BE49-F238E27FC236}">
              <a16:creationId xmlns:a16="http://schemas.microsoft.com/office/drawing/2014/main" id="{00000000-0008-0000-0200-00000AC40100}"/>
            </a:ext>
          </a:extLst>
        </xdr:cNvPr>
        <xdr:cNvSpPr/>
      </xdr:nvSpPr>
      <xdr:spPr>
        <a:xfrm>
          <a:off x="18087974" y="9867900"/>
          <a:ext cx="1476375" cy="647700"/>
        </a:xfrm>
        <a:prstGeom prst="roundRect">
          <a:avLst/>
        </a:prstGeom>
        <a:solidFill>
          <a:srgbClr val="31869B"/>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400">
              <a:latin typeface="Montserrat" panose="00000500000000000000" pitchFamily="2" charset="0"/>
            </a:rPr>
            <a:t>Registro de datos</a:t>
          </a:r>
        </a:p>
      </xdr:txBody>
    </xdr:sp>
    <xdr:clientData/>
  </xdr:twoCellAnchor>
  <xdr:twoCellAnchor>
    <xdr:from>
      <xdr:col>9</xdr:col>
      <xdr:colOff>295274</xdr:colOff>
      <xdr:row>14</xdr:row>
      <xdr:rowOff>857250</xdr:rowOff>
    </xdr:from>
    <xdr:to>
      <xdr:col>10</xdr:col>
      <xdr:colOff>542925</xdr:colOff>
      <xdr:row>15</xdr:row>
      <xdr:rowOff>128588</xdr:rowOff>
    </xdr:to>
    <xdr:cxnSp macro="">
      <xdr:nvCxnSpPr>
        <xdr:cNvPr id="115724" name="Conector: angular 115723">
          <a:extLst>
            <a:ext uri="{FF2B5EF4-FFF2-40B4-BE49-F238E27FC236}">
              <a16:creationId xmlns:a16="http://schemas.microsoft.com/office/drawing/2014/main" id="{00000000-0008-0000-0200-00000CC40100}"/>
            </a:ext>
          </a:extLst>
        </xdr:cNvPr>
        <xdr:cNvCxnSpPr>
          <a:stCxn id="25" idx="3"/>
          <a:endCxn id="115721" idx="1"/>
        </xdr:cNvCxnSpPr>
      </xdr:nvCxnSpPr>
      <xdr:spPr>
        <a:xfrm flipV="1">
          <a:off x="11630024" y="6838950"/>
          <a:ext cx="1009651" cy="223838"/>
        </a:xfrm>
        <a:prstGeom prst="bentConnector3">
          <a:avLst>
            <a:gd name="adj1" fmla="val 50000"/>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652464</xdr:colOff>
      <xdr:row>15</xdr:row>
      <xdr:rowOff>704849</xdr:rowOff>
    </xdr:from>
    <xdr:to>
      <xdr:col>7</xdr:col>
      <xdr:colOff>514350</xdr:colOff>
      <xdr:row>23</xdr:row>
      <xdr:rowOff>142874</xdr:rowOff>
    </xdr:to>
    <xdr:cxnSp macro="">
      <xdr:nvCxnSpPr>
        <xdr:cNvPr id="115726" name="Conector: angular 115725">
          <a:extLst>
            <a:ext uri="{FF2B5EF4-FFF2-40B4-BE49-F238E27FC236}">
              <a16:creationId xmlns:a16="http://schemas.microsoft.com/office/drawing/2014/main" id="{00000000-0008-0000-0200-00000EC40100}"/>
            </a:ext>
          </a:extLst>
        </xdr:cNvPr>
        <xdr:cNvCxnSpPr>
          <a:stCxn id="25" idx="2"/>
          <a:endCxn id="115720" idx="0"/>
        </xdr:cNvCxnSpPr>
      </xdr:nvCxnSpPr>
      <xdr:spPr>
        <a:xfrm rot="5400000">
          <a:off x="9151144" y="8189119"/>
          <a:ext cx="1724025" cy="623886"/>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28575</xdr:colOff>
      <xdr:row>25</xdr:row>
      <xdr:rowOff>171450</xdr:rowOff>
    </xdr:from>
    <xdr:to>
      <xdr:col>17</xdr:col>
      <xdr:colOff>657224</xdr:colOff>
      <xdr:row>28</xdr:row>
      <xdr:rowOff>19050</xdr:rowOff>
    </xdr:to>
    <xdr:cxnSp macro="">
      <xdr:nvCxnSpPr>
        <xdr:cNvPr id="115728" name="Conector: angular 115727">
          <a:extLst>
            <a:ext uri="{FF2B5EF4-FFF2-40B4-BE49-F238E27FC236}">
              <a16:creationId xmlns:a16="http://schemas.microsoft.com/office/drawing/2014/main" id="{00000000-0008-0000-0200-000010C40100}"/>
            </a:ext>
          </a:extLst>
        </xdr:cNvPr>
        <xdr:cNvCxnSpPr>
          <a:stCxn id="115720" idx="3"/>
          <a:endCxn id="115722" idx="1"/>
        </xdr:cNvCxnSpPr>
      </xdr:nvCxnSpPr>
      <xdr:spPr>
        <a:xfrm>
          <a:off x="10601325" y="9772650"/>
          <a:ext cx="7486649" cy="419100"/>
        </a:xfrm>
        <a:prstGeom prst="bentConnector3">
          <a:avLst>
            <a:gd name="adj1" fmla="val 50000"/>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142875</xdr:colOff>
      <xdr:row>14</xdr:row>
      <xdr:rowOff>561973</xdr:rowOff>
    </xdr:from>
    <xdr:to>
      <xdr:col>5</xdr:col>
      <xdr:colOff>523875</xdr:colOff>
      <xdr:row>15</xdr:row>
      <xdr:rowOff>600074</xdr:rowOff>
    </xdr:to>
    <xdr:sp macro="" textlink="">
      <xdr:nvSpPr>
        <xdr:cNvPr id="115729" name="Rectángulo 115728">
          <a:extLst>
            <a:ext uri="{FF2B5EF4-FFF2-40B4-BE49-F238E27FC236}">
              <a16:creationId xmlns:a16="http://schemas.microsoft.com/office/drawing/2014/main" id="{00000000-0008-0000-0200-000011C40100}"/>
            </a:ext>
          </a:extLst>
        </xdr:cNvPr>
        <xdr:cNvSpPr/>
      </xdr:nvSpPr>
      <xdr:spPr>
        <a:xfrm>
          <a:off x="6905625" y="6543673"/>
          <a:ext cx="1905000" cy="990601"/>
        </a:xfrm>
        <a:prstGeom prst="rect">
          <a:avLst/>
        </a:prstGeom>
        <a:solidFill>
          <a:srgbClr val="31869B"/>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400" b="0">
              <a:latin typeface="Montserrat" panose="00000500000000000000" pitchFamily="2" charset="0"/>
            </a:rPr>
            <a:t>Llenado</a:t>
          </a:r>
          <a:r>
            <a:rPr lang="es-MX" sz="1400" b="0" baseline="0">
              <a:latin typeface="Montserrat" panose="00000500000000000000" pitchFamily="2" charset="0"/>
            </a:rPr>
            <a:t> de "Requerimientos de facilidad SOFOM"</a:t>
          </a:r>
          <a:endParaRPr lang="es-MX" sz="1400" b="0">
            <a:latin typeface="Montserrat" panose="00000500000000000000" pitchFamily="2" charset="0"/>
          </a:endParaRPr>
        </a:p>
      </xdr:txBody>
    </xdr:sp>
    <xdr:clientData/>
  </xdr:twoCellAnchor>
  <xdr:twoCellAnchor>
    <xdr:from>
      <xdr:col>4</xdr:col>
      <xdr:colOff>333375</xdr:colOff>
      <xdr:row>11</xdr:row>
      <xdr:rowOff>820103</xdr:rowOff>
    </xdr:from>
    <xdr:to>
      <xdr:col>5</xdr:col>
      <xdr:colOff>547687</xdr:colOff>
      <xdr:row>14</xdr:row>
      <xdr:rowOff>561973</xdr:rowOff>
    </xdr:to>
    <xdr:cxnSp macro="">
      <xdr:nvCxnSpPr>
        <xdr:cNvPr id="115731" name="Conector: angular 115730">
          <a:extLst>
            <a:ext uri="{FF2B5EF4-FFF2-40B4-BE49-F238E27FC236}">
              <a16:creationId xmlns:a16="http://schemas.microsoft.com/office/drawing/2014/main" id="{00000000-0008-0000-0200-000013C40100}"/>
            </a:ext>
          </a:extLst>
        </xdr:cNvPr>
        <xdr:cNvCxnSpPr>
          <a:stCxn id="16" idx="1"/>
          <a:endCxn id="115729" idx="0"/>
        </xdr:cNvCxnSpPr>
      </xdr:nvCxnSpPr>
      <xdr:spPr>
        <a:xfrm rot="10800000" flipV="1">
          <a:off x="7858125" y="4134803"/>
          <a:ext cx="976312" cy="3361370"/>
        </a:xfrm>
        <a:prstGeom prst="bentConnector2">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4981575</xdr:colOff>
      <xdr:row>20</xdr:row>
      <xdr:rowOff>142875</xdr:rowOff>
    </xdr:from>
    <xdr:to>
      <xdr:col>5</xdr:col>
      <xdr:colOff>142875</xdr:colOff>
      <xdr:row>25</xdr:row>
      <xdr:rowOff>9525</xdr:rowOff>
    </xdr:to>
    <xdr:sp macro="" textlink="">
      <xdr:nvSpPr>
        <xdr:cNvPr id="115732" name="Rectángulo 115731">
          <a:extLst>
            <a:ext uri="{FF2B5EF4-FFF2-40B4-BE49-F238E27FC236}">
              <a16:creationId xmlns:a16="http://schemas.microsoft.com/office/drawing/2014/main" id="{00000000-0008-0000-0200-000014C40100}"/>
            </a:ext>
          </a:extLst>
        </xdr:cNvPr>
        <xdr:cNvSpPr/>
      </xdr:nvSpPr>
      <xdr:spPr>
        <a:xfrm>
          <a:off x="6629400" y="8791575"/>
          <a:ext cx="1800225" cy="819150"/>
        </a:xfrm>
        <a:prstGeom prst="rect">
          <a:avLst/>
        </a:prstGeom>
        <a:solidFill>
          <a:srgbClr val="31869B"/>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400" b="0">
              <a:latin typeface="Montserrat" panose="00000500000000000000" pitchFamily="2" charset="0"/>
            </a:rPr>
            <a:t>Llenado</a:t>
          </a:r>
          <a:r>
            <a:rPr lang="es-MX" sz="1400" b="0" baseline="0">
              <a:latin typeface="Montserrat" panose="00000500000000000000" pitchFamily="2" charset="0"/>
            </a:rPr>
            <a:t> de "Aspectos Admon-ope"</a:t>
          </a:r>
          <a:endParaRPr lang="es-MX" sz="1400" b="0">
            <a:latin typeface="Montserrat" panose="00000500000000000000" pitchFamily="2" charset="0"/>
          </a:endParaRPr>
        </a:p>
      </xdr:txBody>
    </xdr:sp>
    <xdr:clientData/>
  </xdr:twoCellAnchor>
  <xdr:twoCellAnchor>
    <xdr:from>
      <xdr:col>4</xdr:col>
      <xdr:colOff>4764</xdr:colOff>
      <xdr:row>15</xdr:row>
      <xdr:rowOff>600073</xdr:rowOff>
    </xdr:from>
    <xdr:to>
      <xdr:col>4</xdr:col>
      <xdr:colOff>333376</xdr:colOff>
      <xdr:row>20</xdr:row>
      <xdr:rowOff>142874</xdr:rowOff>
    </xdr:to>
    <xdr:cxnSp macro="">
      <xdr:nvCxnSpPr>
        <xdr:cNvPr id="115733" name="Conector: angular 115732">
          <a:extLst>
            <a:ext uri="{FF2B5EF4-FFF2-40B4-BE49-F238E27FC236}">
              <a16:creationId xmlns:a16="http://schemas.microsoft.com/office/drawing/2014/main" id="{00000000-0008-0000-0200-000015C40100}"/>
            </a:ext>
          </a:extLst>
        </xdr:cNvPr>
        <xdr:cNvCxnSpPr>
          <a:stCxn id="115729" idx="2"/>
          <a:endCxn id="115732" idx="0"/>
        </xdr:cNvCxnSpPr>
      </xdr:nvCxnSpPr>
      <xdr:spPr>
        <a:xfrm rot="5400000">
          <a:off x="7065169" y="7998618"/>
          <a:ext cx="1257301" cy="328612"/>
        </a:xfrm>
        <a:prstGeom prst="bentConnector3">
          <a:avLst>
            <a:gd name="adj1" fmla="val 50000"/>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4764</xdr:colOff>
      <xdr:row>25</xdr:row>
      <xdr:rowOff>9524</xdr:rowOff>
    </xdr:from>
    <xdr:to>
      <xdr:col>5</xdr:col>
      <xdr:colOff>485776</xdr:colOff>
      <xdr:row>31</xdr:row>
      <xdr:rowOff>95249</xdr:rowOff>
    </xdr:to>
    <xdr:cxnSp macro="">
      <xdr:nvCxnSpPr>
        <xdr:cNvPr id="115737" name="Conector: angular 115736">
          <a:extLst>
            <a:ext uri="{FF2B5EF4-FFF2-40B4-BE49-F238E27FC236}">
              <a16:creationId xmlns:a16="http://schemas.microsoft.com/office/drawing/2014/main" id="{00000000-0008-0000-0200-000019C40100}"/>
            </a:ext>
          </a:extLst>
        </xdr:cNvPr>
        <xdr:cNvCxnSpPr>
          <a:stCxn id="115732" idx="2"/>
          <a:endCxn id="115789" idx="1"/>
        </xdr:cNvCxnSpPr>
      </xdr:nvCxnSpPr>
      <xdr:spPr>
        <a:xfrm rot="16200000" flipH="1">
          <a:off x="7536657" y="9603581"/>
          <a:ext cx="1228725" cy="1243012"/>
        </a:xfrm>
        <a:prstGeom prst="bentConnector2">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400050</xdr:colOff>
      <xdr:row>18</xdr:row>
      <xdr:rowOff>161925</xdr:rowOff>
    </xdr:from>
    <xdr:to>
      <xdr:col>11</xdr:col>
      <xdr:colOff>676275</xdr:colOff>
      <xdr:row>23</xdr:row>
      <xdr:rowOff>28575</xdr:rowOff>
    </xdr:to>
    <xdr:sp macro="" textlink="">
      <xdr:nvSpPr>
        <xdr:cNvPr id="115741" name="Rectángulo 115740">
          <a:extLst>
            <a:ext uri="{FF2B5EF4-FFF2-40B4-BE49-F238E27FC236}">
              <a16:creationId xmlns:a16="http://schemas.microsoft.com/office/drawing/2014/main" id="{00000000-0008-0000-0200-00001DC40100}"/>
            </a:ext>
          </a:extLst>
        </xdr:cNvPr>
        <xdr:cNvSpPr/>
      </xdr:nvSpPr>
      <xdr:spPr>
        <a:xfrm>
          <a:off x="11734800" y="8429625"/>
          <a:ext cx="1800225" cy="819150"/>
        </a:xfrm>
        <a:prstGeom prst="rect">
          <a:avLst/>
        </a:prstGeom>
        <a:solidFill>
          <a:srgbClr val="31869B"/>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400" b="0">
              <a:latin typeface="Montserrat" panose="00000500000000000000" pitchFamily="2" charset="0"/>
            </a:rPr>
            <a:t>Llenado</a:t>
          </a:r>
          <a:r>
            <a:rPr lang="es-MX" sz="1400" b="0" baseline="0">
              <a:latin typeface="Montserrat" panose="00000500000000000000" pitchFamily="2" charset="0"/>
            </a:rPr>
            <a:t> de "Aspectos Admon-ope"</a:t>
          </a:r>
          <a:endParaRPr lang="es-MX" sz="1400" b="0">
            <a:latin typeface="Montserrat" panose="00000500000000000000" pitchFamily="2" charset="0"/>
          </a:endParaRPr>
        </a:p>
      </xdr:txBody>
    </xdr:sp>
    <xdr:clientData/>
  </xdr:twoCellAnchor>
  <xdr:twoCellAnchor>
    <xdr:from>
      <xdr:col>10</xdr:col>
      <xdr:colOff>538163</xdr:colOff>
      <xdr:row>15</xdr:row>
      <xdr:rowOff>314326</xdr:rowOff>
    </xdr:from>
    <xdr:to>
      <xdr:col>11</xdr:col>
      <xdr:colOff>681038</xdr:colOff>
      <xdr:row>18</xdr:row>
      <xdr:rowOff>161926</xdr:rowOff>
    </xdr:to>
    <xdr:cxnSp macro="">
      <xdr:nvCxnSpPr>
        <xdr:cNvPr id="115743" name="Conector: angular 115742">
          <a:extLst>
            <a:ext uri="{FF2B5EF4-FFF2-40B4-BE49-F238E27FC236}">
              <a16:creationId xmlns:a16="http://schemas.microsoft.com/office/drawing/2014/main" id="{00000000-0008-0000-0200-00001FC40100}"/>
            </a:ext>
          </a:extLst>
        </xdr:cNvPr>
        <xdr:cNvCxnSpPr>
          <a:stCxn id="115721" idx="2"/>
          <a:endCxn id="115741" idx="0"/>
        </xdr:cNvCxnSpPr>
      </xdr:nvCxnSpPr>
      <xdr:spPr>
        <a:xfrm rot="5400000">
          <a:off x="12496801" y="7386638"/>
          <a:ext cx="1181100" cy="904875"/>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609600</xdr:colOff>
      <xdr:row>17</xdr:row>
      <xdr:rowOff>180975</xdr:rowOff>
    </xdr:from>
    <xdr:to>
      <xdr:col>17</xdr:col>
      <xdr:colOff>123825</xdr:colOff>
      <xdr:row>22</xdr:row>
      <xdr:rowOff>47625</xdr:rowOff>
    </xdr:to>
    <xdr:sp macro="" textlink="">
      <xdr:nvSpPr>
        <xdr:cNvPr id="115744" name="Rectángulo 115743">
          <a:extLst>
            <a:ext uri="{FF2B5EF4-FFF2-40B4-BE49-F238E27FC236}">
              <a16:creationId xmlns:a16="http://schemas.microsoft.com/office/drawing/2014/main" id="{00000000-0008-0000-0200-000020C40100}"/>
            </a:ext>
          </a:extLst>
        </xdr:cNvPr>
        <xdr:cNvSpPr/>
      </xdr:nvSpPr>
      <xdr:spPr>
        <a:xfrm>
          <a:off x="15754350" y="8258175"/>
          <a:ext cx="1800225" cy="819150"/>
        </a:xfrm>
        <a:prstGeom prst="rect">
          <a:avLst/>
        </a:prstGeom>
        <a:solidFill>
          <a:srgbClr val="31869B"/>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400" b="0">
              <a:latin typeface="Montserrat" panose="00000500000000000000" pitchFamily="2" charset="0"/>
            </a:rPr>
            <a:t>Llenado</a:t>
          </a:r>
          <a:r>
            <a:rPr lang="es-MX" sz="1400" b="0" baseline="0">
              <a:latin typeface="Montserrat" panose="00000500000000000000" pitchFamily="2" charset="0"/>
            </a:rPr>
            <a:t> de "Evaluación de excepciones"</a:t>
          </a:r>
          <a:endParaRPr lang="es-MX" sz="1400" b="0">
            <a:latin typeface="Montserrat" panose="00000500000000000000" pitchFamily="2" charset="0"/>
          </a:endParaRPr>
        </a:p>
      </xdr:txBody>
    </xdr:sp>
    <xdr:clientData/>
  </xdr:twoCellAnchor>
  <xdr:twoCellAnchor>
    <xdr:from>
      <xdr:col>11</xdr:col>
      <xdr:colOff>676275</xdr:colOff>
      <xdr:row>20</xdr:row>
      <xdr:rowOff>19050</xdr:rowOff>
    </xdr:from>
    <xdr:to>
      <xdr:col>14</xdr:col>
      <xdr:colOff>609600</xdr:colOff>
      <xdr:row>21</xdr:row>
      <xdr:rowOff>0</xdr:rowOff>
    </xdr:to>
    <xdr:cxnSp macro="">
      <xdr:nvCxnSpPr>
        <xdr:cNvPr id="115751" name="Conector: angular 115750">
          <a:extLst>
            <a:ext uri="{FF2B5EF4-FFF2-40B4-BE49-F238E27FC236}">
              <a16:creationId xmlns:a16="http://schemas.microsoft.com/office/drawing/2014/main" id="{00000000-0008-0000-0200-000027C40100}"/>
            </a:ext>
          </a:extLst>
        </xdr:cNvPr>
        <xdr:cNvCxnSpPr>
          <a:stCxn id="115741" idx="3"/>
          <a:endCxn id="115744" idx="1"/>
        </xdr:cNvCxnSpPr>
      </xdr:nvCxnSpPr>
      <xdr:spPr>
        <a:xfrm flipV="1">
          <a:off x="13535025" y="8667750"/>
          <a:ext cx="2219325" cy="17145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747713</xdr:colOff>
      <xdr:row>22</xdr:row>
      <xdr:rowOff>47624</xdr:rowOff>
    </xdr:from>
    <xdr:to>
      <xdr:col>18</xdr:col>
      <xdr:colOff>633412</xdr:colOff>
      <xdr:row>26</xdr:row>
      <xdr:rowOff>76199</xdr:rowOff>
    </xdr:to>
    <xdr:cxnSp macro="">
      <xdr:nvCxnSpPr>
        <xdr:cNvPr id="115753" name="Conector: angular 115752">
          <a:extLst>
            <a:ext uri="{FF2B5EF4-FFF2-40B4-BE49-F238E27FC236}">
              <a16:creationId xmlns:a16="http://schemas.microsoft.com/office/drawing/2014/main" id="{00000000-0008-0000-0200-000029C40100}"/>
            </a:ext>
          </a:extLst>
        </xdr:cNvPr>
        <xdr:cNvCxnSpPr>
          <a:stCxn id="115744" idx="2"/>
          <a:endCxn id="115722" idx="0"/>
        </xdr:cNvCxnSpPr>
      </xdr:nvCxnSpPr>
      <xdr:spPr>
        <a:xfrm rot="16200000" flipH="1">
          <a:off x="17345025" y="8386762"/>
          <a:ext cx="790575" cy="2171699"/>
        </a:xfrm>
        <a:prstGeom prst="bentConnector3">
          <a:avLst>
            <a:gd name="adj1" fmla="val 50000"/>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485775</xdr:colOff>
      <xdr:row>29</xdr:row>
      <xdr:rowOff>66675</xdr:rowOff>
    </xdr:from>
    <xdr:to>
      <xdr:col>8</xdr:col>
      <xdr:colOff>0</xdr:colOff>
      <xdr:row>33</xdr:row>
      <xdr:rowOff>123825</xdr:rowOff>
    </xdr:to>
    <xdr:sp macro="" textlink="">
      <xdr:nvSpPr>
        <xdr:cNvPr id="115789" name="Rectángulo 115788">
          <a:extLst>
            <a:ext uri="{FF2B5EF4-FFF2-40B4-BE49-F238E27FC236}">
              <a16:creationId xmlns:a16="http://schemas.microsoft.com/office/drawing/2014/main" id="{00000000-0008-0000-0200-00004DC40100}"/>
            </a:ext>
          </a:extLst>
        </xdr:cNvPr>
        <xdr:cNvSpPr/>
      </xdr:nvSpPr>
      <xdr:spPr>
        <a:xfrm>
          <a:off x="8772525" y="10429875"/>
          <a:ext cx="1800225" cy="819150"/>
        </a:xfrm>
        <a:prstGeom prst="rect">
          <a:avLst/>
        </a:prstGeom>
        <a:solidFill>
          <a:srgbClr val="31869B"/>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400" b="0">
              <a:latin typeface="Montserrat" panose="00000500000000000000" pitchFamily="2" charset="0"/>
            </a:rPr>
            <a:t>Llenado</a:t>
          </a:r>
          <a:r>
            <a:rPr lang="es-MX" sz="1400" b="0" baseline="0">
              <a:latin typeface="Montserrat" panose="00000500000000000000" pitchFamily="2" charset="0"/>
            </a:rPr>
            <a:t> de "Evaluación de facilidad SOFOM"</a:t>
          </a:r>
          <a:endParaRPr lang="es-MX" sz="1400" b="0">
            <a:latin typeface="Montserrat" panose="00000500000000000000" pitchFamily="2" charset="0"/>
          </a:endParaRPr>
        </a:p>
      </xdr:txBody>
    </xdr:sp>
    <xdr:clientData/>
  </xdr:twoCellAnchor>
  <xdr:twoCellAnchor>
    <xdr:from>
      <xdr:col>8</xdr:col>
      <xdr:colOff>0</xdr:colOff>
      <xdr:row>28</xdr:row>
      <xdr:rowOff>19050</xdr:rowOff>
    </xdr:from>
    <xdr:to>
      <xdr:col>17</xdr:col>
      <xdr:colOff>657224</xdr:colOff>
      <xdr:row>31</xdr:row>
      <xdr:rowOff>95250</xdr:rowOff>
    </xdr:to>
    <xdr:cxnSp macro="">
      <xdr:nvCxnSpPr>
        <xdr:cNvPr id="115843" name="Conector: angular 115842">
          <a:extLst>
            <a:ext uri="{FF2B5EF4-FFF2-40B4-BE49-F238E27FC236}">
              <a16:creationId xmlns:a16="http://schemas.microsoft.com/office/drawing/2014/main" id="{00000000-0008-0000-0200-000083C40100}"/>
            </a:ext>
          </a:extLst>
        </xdr:cNvPr>
        <xdr:cNvCxnSpPr>
          <a:stCxn id="115789" idx="3"/>
          <a:endCxn id="115722" idx="1"/>
        </xdr:cNvCxnSpPr>
      </xdr:nvCxnSpPr>
      <xdr:spPr>
        <a:xfrm flipV="1">
          <a:off x="10572750" y="10191750"/>
          <a:ext cx="7515224" cy="64770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485775</xdr:colOff>
      <xdr:row>2</xdr:row>
      <xdr:rowOff>180975</xdr:rowOff>
    </xdr:from>
    <xdr:to>
      <xdr:col>15</xdr:col>
      <xdr:colOff>333375</xdr:colOff>
      <xdr:row>6</xdr:row>
      <xdr:rowOff>85725</xdr:rowOff>
    </xdr:to>
    <xdr:sp macro="" textlink="">
      <xdr:nvSpPr>
        <xdr:cNvPr id="115851" name="Diagrama de flujo: decisión 115850">
          <a:extLst>
            <a:ext uri="{FF2B5EF4-FFF2-40B4-BE49-F238E27FC236}">
              <a16:creationId xmlns:a16="http://schemas.microsoft.com/office/drawing/2014/main" id="{00000000-0008-0000-0200-00008BC40100}"/>
            </a:ext>
          </a:extLst>
        </xdr:cNvPr>
        <xdr:cNvSpPr/>
      </xdr:nvSpPr>
      <xdr:spPr>
        <a:xfrm>
          <a:off x="13344525" y="962025"/>
          <a:ext cx="2895600" cy="1104900"/>
        </a:xfrm>
        <a:prstGeom prst="flowChartDecision">
          <a:avLst/>
        </a:prstGeom>
        <a:solidFill>
          <a:srgbClr val="31869B"/>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400" b="0">
              <a:latin typeface="Montserrat" panose="00000500000000000000" pitchFamily="2" charset="0"/>
            </a:rPr>
            <a:t>¿Qué</a:t>
          </a:r>
          <a:r>
            <a:rPr lang="es-MX" sz="1400" b="0" baseline="0">
              <a:latin typeface="Montserrat" panose="00000500000000000000" pitchFamily="2" charset="0"/>
            </a:rPr>
            <a:t> tipo de prestador es?</a:t>
          </a:r>
          <a:endParaRPr lang="es-MX" sz="1400" b="0">
            <a:latin typeface="Montserrat" panose="00000500000000000000" pitchFamily="2" charset="0"/>
          </a:endParaRPr>
        </a:p>
      </xdr:txBody>
    </xdr:sp>
    <xdr:clientData/>
  </xdr:twoCellAnchor>
  <xdr:twoCellAnchor>
    <xdr:from>
      <xdr:col>9</xdr:col>
      <xdr:colOff>195262</xdr:colOff>
      <xdr:row>4</xdr:row>
      <xdr:rowOff>295275</xdr:rowOff>
    </xdr:from>
    <xdr:to>
      <xdr:col>11</xdr:col>
      <xdr:colOff>485775</xdr:colOff>
      <xdr:row>11</xdr:row>
      <xdr:rowOff>820103</xdr:rowOff>
    </xdr:to>
    <xdr:cxnSp macro="">
      <xdr:nvCxnSpPr>
        <xdr:cNvPr id="115853" name="Conector: angular 115852">
          <a:extLst>
            <a:ext uri="{FF2B5EF4-FFF2-40B4-BE49-F238E27FC236}">
              <a16:creationId xmlns:a16="http://schemas.microsoft.com/office/drawing/2014/main" id="{00000000-0008-0000-0200-00008DC40100}"/>
            </a:ext>
          </a:extLst>
        </xdr:cNvPr>
        <xdr:cNvCxnSpPr>
          <a:stCxn id="16" idx="3"/>
          <a:endCxn id="115851" idx="1"/>
        </xdr:cNvCxnSpPr>
      </xdr:nvCxnSpPr>
      <xdr:spPr>
        <a:xfrm flipV="1">
          <a:off x="11530012" y="1514475"/>
          <a:ext cx="1814513" cy="2620328"/>
        </a:xfrm>
        <a:prstGeom prst="bentConnector3">
          <a:avLst>
            <a:gd name="adj1" fmla="val 50000"/>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733426</xdr:colOff>
      <xdr:row>11</xdr:row>
      <xdr:rowOff>190499</xdr:rowOff>
    </xdr:from>
    <xdr:to>
      <xdr:col>17</xdr:col>
      <xdr:colOff>428626</xdr:colOff>
      <xdr:row>13</xdr:row>
      <xdr:rowOff>228600</xdr:rowOff>
    </xdr:to>
    <xdr:sp macro="" textlink="">
      <xdr:nvSpPr>
        <xdr:cNvPr id="115857" name="Rectángulo 115856">
          <a:extLst>
            <a:ext uri="{FF2B5EF4-FFF2-40B4-BE49-F238E27FC236}">
              <a16:creationId xmlns:a16="http://schemas.microsoft.com/office/drawing/2014/main" id="{00000000-0008-0000-0200-000091C40100}"/>
            </a:ext>
          </a:extLst>
        </xdr:cNvPr>
        <xdr:cNvSpPr/>
      </xdr:nvSpPr>
      <xdr:spPr>
        <a:xfrm>
          <a:off x="15878176" y="4267199"/>
          <a:ext cx="1981200" cy="990601"/>
        </a:xfrm>
        <a:prstGeom prst="rect">
          <a:avLst/>
        </a:prstGeom>
        <a:solidFill>
          <a:srgbClr val="31869B"/>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400" b="0">
              <a:latin typeface="Montserrat" panose="00000500000000000000" pitchFamily="2" charset="0"/>
            </a:rPr>
            <a:t>Llenado</a:t>
          </a:r>
          <a:r>
            <a:rPr lang="es-MX" sz="1400" b="0" baseline="0">
              <a:latin typeface="Montserrat" panose="00000500000000000000" pitchFamily="2" charset="0"/>
            </a:rPr>
            <a:t> de "Requerimientos de servicio extranjero y filial"</a:t>
          </a:r>
          <a:endParaRPr lang="es-MX" sz="1400" b="0">
            <a:latin typeface="Montserrat" panose="00000500000000000000" pitchFamily="2" charset="0"/>
          </a:endParaRPr>
        </a:p>
      </xdr:txBody>
    </xdr:sp>
    <xdr:clientData/>
  </xdr:twoCellAnchor>
  <xdr:twoCellAnchor>
    <xdr:from>
      <xdr:col>14</xdr:col>
      <xdr:colOff>742950</xdr:colOff>
      <xdr:row>13</xdr:row>
      <xdr:rowOff>628649</xdr:rowOff>
    </xdr:from>
    <xdr:to>
      <xdr:col>17</xdr:col>
      <xdr:colOff>457200</xdr:colOff>
      <xdr:row>14</xdr:row>
      <xdr:rowOff>695324</xdr:rowOff>
    </xdr:to>
    <xdr:sp macro="" textlink="">
      <xdr:nvSpPr>
        <xdr:cNvPr id="115858" name="Rectángulo 115857">
          <a:extLst>
            <a:ext uri="{FF2B5EF4-FFF2-40B4-BE49-F238E27FC236}">
              <a16:creationId xmlns:a16="http://schemas.microsoft.com/office/drawing/2014/main" id="{00000000-0008-0000-0200-000092C40100}"/>
            </a:ext>
          </a:extLst>
        </xdr:cNvPr>
        <xdr:cNvSpPr/>
      </xdr:nvSpPr>
      <xdr:spPr>
        <a:xfrm>
          <a:off x="15887700" y="5657849"/>
          <a:ext cx="2000250" cy="1019175"/>
        </a:xfrm>
        <a:prstGeom prst="rect">
          <a:avLst/>
        </a:prstGeom>
        <a:solidFill>
          <a:srgbClr val="31869B"/>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400" b="0">
              <a:latin typeface="Montserrat" panose="00000500000000000000" pitchFamily="2" charset="0"/>
            </a:rPr>
            <a:t>Llenado</a:t>
          </a:r>
          <a:r>
            <a:rPr lang="es-MX" sz="1400" b="0" baseline="0">
              <a:latin typeface="Montserrat" panose="00000500000000000000" pitchFamily="2" charset="0"/>
            </a:rPr>
            <a:t> de "Requerimientos de servicio extranjero y no filial"</a:t>
          </a:r>
          <a:endParaRPr lang="es-MX" sz="1400" b="0">
            <a:latin typeface="Montserrat" panose="00000500000000000000" pitchFamily="2" charset="0"/>
          </a:endParaRPr>
        </a:p>
      </xdr:txBody>
    </xdr:sp>
    <xdr:clientData/>
  </xdr:twoCellAnchor>
  <xdr:twoCellAnchor>
    <xdr:from>
      <xdr:col>17</xdr:col>
      <xdr:colOff>123825</xdr:colOff>
      <xdr:row>6</xdr:row>
      <xdr:rowOff>104774</xdr:rowOff>
    </xdr:from>
    <xdr:to>
      <xdr:col>20</xdr:col>
      <xdr:colOff>123825</xdr:colOff>
      <xdr:row>8</xdr:row>
      <xdr:rowOff>590549</xdr:rowOff>
    </xdr:to>
    <xdr:sp macro="" textlink="">
      <xdr:nvSpPr>
        <xdr:cNvPr id="115859" name="Rectángulo 115858">
          <a:extLst>
            <a:ext uri="{FF2B5EF4-FFF2-40B4-BE49-F238E27FC236}">
              <a16:creationId xmlns:a16="http://schemas.microsoft.com/office/drawing/2014/main" id="{00000000-0008-0000-0200-000093C40100}"/>
            </a:ext>
          </a:extLst>
        </xdr:cNvPr>
        <xdr:cNvSpPr/>
      </xdr:nvSpPr>
      <xdr:spPr>
        <a:xfrm>
          <a:off x="17554575" y="2085974"/>
          <a:ext cx="2286000" cy="1247775"/>
        </a:xfrm>
        <a:prstGeom prst="rect">
          <a:avLst/>
        </a:prstGeom>
        <a:solidFill>
          <a:srgbClr val="31869B"/>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400" b="0">
              <a:latin typeface="Montserrat" panose="00000500000000000000" pitchFamily="2" charset="0"/>
            </a:rPr>
            <a:t>Llenado</a:t>
          </a:r>
          <a:r>
            <a:rPr lang="es-MX" sz="1400" b="0" baseline="0">
              <a:latin typeface="Montserrat" panose="00000500000000000000" pitchFamily="2" charset="0"/>
            </a:rPr>
            <a:t> de "Requerimientos de servicio nacional y entidad financiera o contrtación directa"</a:t>
          </a:r>
          <a:endParaRPr lang="es-MX" sz="1400" b="0">
            <a:latin typeface="Montserrat" panose="00000500000000000000" pitchFamily="2" charset="0"/>
          </a:endParaRPr>
        </a:p>
      </xdr:txBody>
    </xdr:sp>
    <xdr:clientData/>
  </xdr:twoCellAnchor>
  <xdr:twoCellAnchor>
    <xdr:from>
      <xdr:col>20</xdr:col>
      <xdr:colOff>495300</xdr:colOff>
      <xdr:row>6</xdr:row>
      <xdr:rowOff>123824</xdr:rowOff>
    </xdr:from>
    <xdr:to>
      <xdr:col>23</xdr:col>
      <xdr:colOff>371475</xdr:colOff>
      <xdr:row>8</xdr:row>
      <xdr:rowOff>590549</xdr:rowOff>
    </xdr:to>
    <xdr:sp macro="" textlink="">
      <xdr:nvSpPr>
        <xdr:cNvPr id="115860" name="Rectángulo 115859">
          <a:extLst>
            <a:ext uri="{FF2B5EF4-FFF2-40B4-BE49-F238E27FC236}">
              <a16:creationId xmlns:a16="http://schemas.microsoft.com/office/drawing/2014/main" id="{00000000-0008-0000-0200-000094C40100}"/>
            </a:ext>
          </a:extLst>
        </xdr:cNvPr>
        <xdr:cNvSpPr/>
      </xdr:nvSpPr>
      <xdr:spPr>
        <a:xfrm>
          <a:off x="20212050" y="2105024"/>
          <a:ext cx="2162175" cy="1228725"/>
        </a:xfrm>
        <a:prstGeom prst="rect">
          <a:avLst/>
        </a:prstGeom>
        <a:solidFill>
          <a:srgbClr val="31869B"/>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400" b="0">
              <a:latin typeface="Montserrat" panose="00000500000000000000" pitchFamily="2" charset="0"/>
            </a:rPr>
            <a:t>Llenado</a:t>
          </a:r>
          <a:r>
            <a:rPr lang="es-MX" sz="1400" b="0" baseline="0">
              <a:latin typeface="Montserrat" panose="00000500000000000000" pitchFamily="2" charset="0"/>
            </a:rPr>
            <a:t> de "Requerimientos de servicio nacional y subsidiaria o empresa relacionada"</a:t>
          </a:r>
          <a:endParaRPr lang="es-MX" sz="1400" b="0">
            <a:latin typeface="Montserrat" panose="00000500000000000000" pitchFamily="2" charset="0"/>
          </a:endParaRPr>
        </a:p>
      </xdr:txBody>
    </xdr:sp>
    <xdr:clientData/>
  </xdr:twoCellAnchor>
  <xdr:twoCellAnchor>
    <xdr:from>
      <xdr:col>19</xdr:col>
      <xdr:colOff>714375</xdr:colOff>
      <xdr:row>12</xdr:row>
      <xdr:rowOff>209550</xdr:rowOff>
    </xdr:from>
    <xdr:to>
      <xdr:col>22</xdr:col>
      <xdr:colOff>228600</xdr:colOff>
      <xdr:row>13</xdr:row>
      <xdr:rowOff>647700</xdr:rowOff>
    </xdr:to>
    <xdr:sp macro="" textlink="">
      <xdr:nvSpPr>
        <xdr:cNvPr id="115861" name="Rectángulo 115860">
          <a:extLst>
            <a:ext uri="{FF2B5EF4-FFF2-40B4-BE49-F238E27FC236}">
              <a16:creationId xmlns:a16="http://schemas.microsoft.com/office/drawing/2014/main" id="{00000000-0008-0000-0200-000095C40100}"/>
            </a:ext>
          </a:extLst>
        </xdr:cNvPr>
        <xdr:cNvSpPr/>
      </xdr:nvSpPr>
      <xdr:spPr>
        <a:xfrm>
          <a:off x="19669125" y="4857750"/>
          <a:ext cx="1800225" cy="819150"/>
        </a:xfrm>
        <a:prstGeom prst="rect">
          <a:avLst/>
        </a:prstGeom>
        <a:solidFill>
          <a:srgbClr val="31869B"/>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400" b="0">
              <a:latin typeface="Montserrat" panose="00000500000000000000" pitchFamily="2" charset="0"/>
            </a:rPr>
            <a:t>Llenado</a:t>
          </a:r>
          <a:r>
            <a:rPr lang="es-MX" sz="1400" b="0" baseline="0">
              <a:latin typeface="Montserrat" panose="00000500000000000000" pitchFamily="2" charset="0"/>
            </a:rPr>
            <a:t> de "Aspectos Supervisión"</a:t>
          </a:r>
          <a:endParaRPr lang="es-MX" sz="1400" b="0">
            <a:latin typeface="Montserrat" panose="00000500000000000000" pitchFamily="2" charset="0"/>
          </a:endParaRPr>
        </a:p>
      </xdr:txBody>
    </xdr:sp>
    <xdr:clientData/>
  </xdr:twoCellAnchor>
  <xdr:twoCellAnchor>
    <xdr:from>
      <xdr:col>19</xdr:col>
      <xdr:colOff>142875</xdr:colOff>
      <xdr:row>15</xdr:row>
      <xdr:rowOff>285750</xdr:rowOff>
    </xdr:from>
    <xdr:to>
      <xdr:col>21</xdr:col>
      <xdr:colOff>419100</xdr:colOff>
      <xdr:row>16</xdr:row>
      <xdr:rowOff>152400</xdr:rowOff>
    </xdr:to>
    <xdr:sp macro="" textlink="">
      <xdr:nvSpPr>
        <xdr:cNvPr id="115862" name="Rectángulo 115861">
          <a:extLst>
            <a:ext uri="{FF2B5EF4-FFF2-40B4-BE49-F238E27FC236}">
              <a16:creationId xmlns:a16="http://schemas.microsoft.com/office/drawing/2014/main" id="{00000000-0008-0000-0200-000096C40100}"/>
            </a:ext>
          </a:extLst>
        </xdr:cNvPr>
        <xdr:cNvSpPr/>
      </xdr:nvSpPr>
      <xdr:spPr>
        <a:xfrm>
          <a:off x="19097625" y="7219950"/>
          <a:ext cx="1800225" cy="819150"/>
        </a:xfrm>
        <a:prstGeom prst="rect">
          <a:avLst/>
        </a:prstGeom>
        <a:solidFill>
          <a:srgbClr val="31869B"/>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400" b="0">
              <a:latin typeface="Montserrat" panose="00000500000000000000" pitchFamily="2" charset="0"/>
            </a:rPr>
            <a:t>Llenado</a:t>
          </a:r>
          <a:r>
            <a:rPr lang="es-MX" sz="1400" b="0" baseline="0">
              <a:latin typeface="Montserrat" panose="00000500000000000000" pitchFamily="2" charset="0"/>
            </a:rPr>
            <a:t> de "Evaluación"</a:t>
          </a:r>
          <a:endParaRPr lang="es-MX" sz="1400" b="0">
            <a:latin typeface="Montserrat" panose="00000500000000000000" pitchFamily="2" charset="0"/>
          </a:endParaRPr>
        </a:p>
      </xdr:txBody>
    </xdr:sp>
    <xdr:clientData/>
  </xdr:twoCellAnchor>
  <xdr:twoCellAnchor>
    <xdr:from>
      <xdr:col>13</xdr:col>
      <xdr:colOff>409575</xdr:colOff>
      <xdr:row>6</xdr:row>
      <xdr:rowOff>85724</xdr:rowOff>
    </xdr:from>
    <xdr:to>
      <xdr:col>14</xdr:col>
      <xdr:colOff>733426</xdr:colOff>
      <xdr:row>12</xdr:row>
      <xdr:rowOff>114299</xdr:rowOff>
    </xdr:to>
    <xdr:cxnSp macro="">
      <xdr:nvCxnSpPr>
        <xdr:cNvPr id="115864" name="Conector: angular 115863">
          <a:extLst>
            <a:ext uri="{FF2B5EF4-FFF2-40B4-BE49-F238E27FC236}">
              <a16:creationId xmlns:a16="http://schemas.microsoft.com/office/drawing/2014/main" id="{00000000-0008-0000-0200-000098C40100}"/>
            </a:ext>
          </a:extLst>
        </xdr:cNvPr>
        <xdr:cNvCxnSpPr>
          <a:stCxn id="115851" idx="2"/>
          <a:endCxn id="115857" idx="1"/>
        </xdr:cNvCxnSpPr>
      </xdr:nvCxnSpPr>
      <xdr:spPr>
        <a:xfrm rot="16200000" flipH="1">
          <a:off x="13987463" y="2871786"/>
          <a:ext cx="2695575" cy="1085851"/>
        </a:xfrm>
        <a:prstGeom prst="bentConnector2">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409574</xdr:colOff>
      <xdr:row>6</xdr:row>
      <xdr:rowOff>85725</xdr:rowOff>
    </xdr:from>
    <xdr:to>
      <xdr:col>14</xdr:col>
      <xdr:colOff>742949</xdr:colOff>
      <xdr:row>14</xdr:row>
      <xdr:rowOff>185737</xdr:rowOff>
    </xdr:to>
    <xdr:cxnSp macro="">
      <xdr:nvCxnSpPr>
        <xdr:cNvPr id="115866" name="Conector: angular 115865">
          <a:extLst>
            <a:ext uri="{FF2B5EF4-FFF2-40B4-BE49-F238E27FC236}">
              <a16:creationId xmlns:a16="http://schemas.microsoft.com/office/drawing/2014/main" id="{00000000-0008-0000-0200-00009AC40100}"/>
            </a:ext>
          </a:extLst>
        </xdr:cNvPr>
        <xdr:cNvCxnSpPr>
          <a:stCxn id="115851" idx="2"/>
          <a:endCxn id="115858" idx="1"/>
        </xdr:cNvCxnSpPr>
      </xdr:nvCxnSpPr>
      <xdr:spPr>
        <a:xfrm rot="16200000" flipH="1">
          <a:off x="13289756" y="3569493"/>
          <a:ext cx="4100512" cy="1095375"/>
        </a:xfrm>
        <a:prstGeom prst="bentConnector2">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333375</xdr:colOff>
      <xdr:row>4</xdr:row>
      <xdr:rowOff>295275</xdr:rowOff>
    </xdr:from>
    <xdr:to>
      <xdr:col>18</xdr:col>
      <xdr:colOff>504825</xdr:colOff>
      <xdr:row>6</xdr:row>
      <xdr:rowOff>104774</xdr:rowOff>
    </xdr:to>
    <xdr:cxnSp macro="">
      <xdr:nvCxnSpPr>
        <xdr:cNvPr id="115868" name="Conector: angular 115867">
          <a:extLst>
            <a:ext uri="{FF2B5EF4-FFF2-40B4-BE49-F238E27FC236}">
              <a16:creationId xmlns:a16="http://schemas.microsoft.com/office/drawing/2014/main" id="{00000000-0008-0000-0200-00009CC40100}"/>
            </a:ext>
          </a:extLst>
        </xdr:cNvPr>
        <xdr:cNvCxnSpPr>
          <a:stCxn id="115851" idx="3"/>
          <a:endCxn id="115859" idx="0"/>
        </xdr:cNvCxnSpPr>
      </xdr:nvCxnSpPr>
      <xdr:spPr>
        <a:xfrm>
          <a:off x="16240125" y="1514475"/>
          <a:ext cx="2457450" cy="571499"/>
        </a:xfrm>
        <a:prstGeom prst="bentConnector2">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333375</xdr:colOff>
      <xdr:row>4</xdr:row>
      <xdr:rowOff>295275</xdr:rowOff>
    </xdr:from>
    <xdr:to>
      <xdr:col>22</xdr:col>
      <xdr:colOff>52388</xdr:colOff>
      <xdr:row>6</xdr:row>
      <xdr:rowOff>123824</xdr:rowOff>
    </xdr:to>
    <xdr:cxnSp macro="">
      <xdr:nvCxnSpPr>
        <xdr:cNvPr id="115870" name="Conector: angular 115869">
          <a:extLst>
            <a:ext uri="{FF2B5EF4-FFF2-40B4-BE49-F238E27FC236}">
              <a16:creationId xmlns:a16="http://schemas.microsoft.com/office/drawing/2014/main" id="{00000000-0008-0000-0200-00009EC40100}"/>
            </a:ext>
          </a:extLst>
        </xdr:cNvPr>
        <xdr:cNvCxnSpPr>
          <a:stCxn id="115851" idx="3"/>
          <a:endCxn id="115860" idx="0"/>
        </xdr:cNvCxnSpPr>
      </xdr:nvCxnSpPr>
      <xdr:spPr>
        <a:xfrm>
          <a:off x="16240125" y="1514475"/>
          <a:ext cx="5053013" cy="590549"/>
        </a:xfrm>
        <a:prstGeom prst="bentConnector2">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428626</xdr:colOff>
      <xdr:row>12</xdr:row>
      <xdr:rowOff>114300</xdr:rowOff>
    </xdr:from>
    <xdr:to>
      <xdr:col>19</xdr:col>
      <xdr:colOff>714375</xdr:colOff>
      <xdr:row>13</xdr:row>
      <xdr:rowOff>238125</xdr:rowOff>
    </xdr:to>
    <xdr:cxnSp macro="">
      <xdr:nvCxnSpPr>
        <xdr:cNvPr id="115875" name="Conector: angular 115874">
          <a:extLst>
            <a:ext uri="{FF2B5EF4-FFF2-40B4-BE49-F238E27FC236}">
              <a16:creationId xmlns:a16="http://schemas.microsoft.com/office/drawing/2014/main" id="{00000000-0008-0000-0200-0000A3C40100}"/>
            </a:ext>
          </a:extLst>
        </xdr:cNvPr>
        <xdr:cNvCxnSpPr>
          <a:stCxn id="115857" idx="3"/>
          <a:endCxn id="115861" idx="1"/>
        </xdr:cNvCxnSpPr>
      </xdr:nvCxnSpPr>
      <xdr:spPr>
        <a:xfrm>
          <a:off x="17859376" y="4762500"/>
          <a:ext cx="1809749" cy="504825"/>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457200</xdr:colOff>
      <xdr:row>13</xdr:row>
      <xdr:rowOff>238125</xdr:rowOff>
    </xdr:from>
    <xdr:to>
      <xdr:col>19</xdr:col>
      <xdr:colOff>714375</xdr:colOff>
      <xdr:row>14</xdr:row>
      <xdr:rowOff>185737</xdr:rowOff>
    </xdr:to>
    <xdr:cxnSp macro="">
      <xdr:nvCxnSpPr>
        <xdr:cNvPr id="115877" name="Conector: angular 115876">
          <a:extLst>
            <a:ext uri="{FF2B5EF4-FFF2-40B4-BE49-F238E27FC236}">
              <a16:creationId xmlns:a16="http://schemas.microsoft.com/office/drawing/2014/main" id="{00000000-0008-0000-0200-0000A5C40100}"/>
            </a:ext>
          </a:extLst>
        </xdr:cNvPr>
        <xdr:cNvCxnSpPr>
          <a:stCxn id="115858" idx="3"/>
          <a:endCxn id="115861" idx="1"/>
        </xdr:cNvCxnSpPr>
      </xdr:nvCxnSpPr>
      <xdr:spPr>
        <a:xfrm flipV="1">
          <a:off x="17887950" y="5267325"/>
          <a:ext cx="1781175" cy="900112"/>
        </a:xfrm>
        <a:prstGeom prst="bentConnector3">
          <a:avLst>
            <a:gd name="adj1" fmla="val 50000"/>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504825</xdr:colOff>
      <xdr:row>8</xdr:row>
      <xdr:rowOff>590548</xdr:rowOff>
    </xdr:from>
    <xdr:to>
      <xdr:col>21</xdr:col>
      <xdr:colOff>90488</xdr:colOff>
      <xdr:row>12</xdr:row>
      <xdr:rowOff>209549</xdr:rowOff>
    </xdr:to>
    <xdr:cxnSp macro="">
      <xdr:nvCxnSpPr>
        <xdr:cNvPr id="115880" name="Conector: angular 115879">
          <a:extLst>
            <a:ext uri="{FF2B5EF4-FFF2-40B4-BE49-F238E27FC236}">
              <a16:creationId xmlns:a16="http://schemas.microsoft.com/office/drawing/2014/main" id="{00000000-0008-0000-0200-0000A8C40100}"/>
            </a:ext>
          </a:extLst>
        </xdr:cNvPr>
        <xdr:cNvCxnSpPr>
          <a:stCxn id="115859" idx="2"/>
          <a:endCxn id="115861" idx="0"/>
        </xdr:cNvCxnSpPr>
      </xdr:nvCxnSpPr>
      <xdr:spPr>
        <a:xfrm rot="16200000" flipH="1">
          <a:off x="18871406" y="3159917"/>
          <a:ext cx="1524001" cy="1871663"/>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90489</xdr:colOff>
      <xdr:row>8</xdr:row>
      <xdr:rowOff>590548</xdr:rowOff>
    </xdr:from>
    <xdr:to>
      <xdr:col>22</xdr:col>
      <xdr:colOff>52389</xdr:colOff>
      <xdr:row>12</xdr:row>
      <xdr:rowOff>209549</xdr:rowOff>
    </xdr:to>
    <xdr:cxnSp macro="">
      <xdr:nvCxnSpPr>
        <xdr:cNvPr id="115882" name="Conector: angular 115881">
          <a:extLst>
            <a:ext uri="{FF2B5EF4-FFF2-40B4-BE49-F238E27FC236}">
              <a16:creationId xmlns:a16="http://schemas.microsoft.com/office/drawing/2014/main" id="{00000000-0008-0000-0200-0000AAC40100}"/>
            </a:ext>
          </a:extLst>
        </xdr:cNvPr>
        <xdr:cNvCxnSpPr>
          <a:stCxn id="115860" idx="2"/>
          <a:endCxn id="115861" idx="0"/>
        </xdr:cNvCxnSpPr>
      </xdr:nvCxnSpPr>
      <xdr:spPr>
        <a:xfrm rot="5400000">
          <a:off x="20169188" y="3733799"/>
          <a:ext cx="1524001" cy="72390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609599</xdr:colOff>
      <xdr:row>16</xdr:row>
      <xdr:rowOff>152401</xdr:rowOff>
    </xdr:from>
    <xdr:to>
      <xdr:col>20</xdr:col>
      <xdr:colOff>280988</xdr:colOff>
      <xdr:row>28</xdr:row>
      <xdr:rowOff>19051</xdr:rowOff>
    </xdr:to>
    <xdr:cxnSp macro="">
      <xdr:nvCxnSpPr>
        <xdr:cNvPr id="115884" name="Conector: angular 115883">
          <a:extLst>
            <a:ext uri="{FF2B5EF4-FFF2-40B4-BE49-F238E27FC236}">
              <a16:creationId xmlns:a16="http://schemas.microsoft.com/office/drawing/2014/main" id="{00000000-0008-0000-0200-0000ACC40100}"/>
            </a:ext>
          </a:extLst>
        </xdr:cNvPr>
        <xdr:cNvCxnSpPr>
          <a:stCxn id="115862" idx="2"/>
          <a:endCxn id="115722" idx="3"/>
        </xdr:cNvCxnSpPr>
      </xdr:nvCxnSpPr>
      <xdr:spPr>
        <a:xfrm rot="5400000">
          <a:off x="18704719" y="8898731"/>
          <a:ext cx="2152650" cy="433389"/>
        </a:xfrm>
        <a:prstGeom prst="bentConnector2">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280988</xdr:colOff>
      <xdr:row>13</xdr:row>
      <xdr:rowOff>647700</xdr:rowOff>
    </xdr:from>
    <xdr:to>
      <xdr:col>21</xdr:col>
      <xdr:colOff>90488</xdr:colOff>
      <xdr:row>15</xdr:row>
      <xdr:rowOff>285750</xdr:rowOff>
    </xdr:to>
    <xdr:cxnSp macro="">
      <xdr:nvCxnSpPr>
        <xdr:cNvPr id="115886" name="Conector: angular 115885">
          <a:extLst>
            <a:ext uri="{FF2B5EF4-FFF2-40B4-BE49-F238E27FC236}">
              <a16:creationId xmlns:a16="http://schemas.microsoft.com/office/drawing/2014/main" id="{00000000-0008-0000-0200-0000AEC40100}"/>
            </a:ext>
          </a:extLst>
        </xdr:cNvPr>
        <xdr:cNvCxnSpPr>
          <a:stCxn id="115861" idx="2"/>
          <a:endCxn id="115862" idx="0"/>
        </xdr:cNvCxnSpPr>
      </xdr:nvCxnSpPr>
      <xdr:spPr>
        <a:xfrm rot="5400000">
          <a:off x="19511963" y="6162675"/>
          <a:ext cx="1543050" cy="57150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233362</xdr:colOff>
      <xdr:row>7</xdr:row>
      <xdr:rowOff>175260</xdr:rowOff>
    </xdr:from>
    <xdr:to>
      <xdr:col>8</xdr:col>
      <xdr:colOff>509587</xdr:colOff>
      <xdr:row>8</xdr:row>
      <xdr:rowOff>613410</xdr:rowOff>
    </xdr:to>
    <xdr:sp macro="" textlink="">
      <xdr:nvSpPr>
        <xdr:cNvPr id="115887" name="Rectángulo 115886">
          <a:extLst>
            <a:ext uri="{FF2B5EF4-FFF2-40B4-BE49-F238E27FC236}">
              <a16:creationId xmlns:a16="http://schemas.microsoft.com/office/drawing/2014/main" id="{00000000-0008-0000-0200-0000AFC40100}"/>
            </a:ext>
          </a:extLst>
        </xdr:cNvPr>
        <xdr:cNvSpPr/>
      </xdr:nvSpPr>
      <xdr:spPr>
        <a:xfrm>
          <a:off x="9282112" y="2537460"/>
          <a:ext cx="1800225" cy="819150"/>
        </a:xfrm>
        <a:prstGeom prst="rect">
          <a:avLst/>
        </a:prstGeom>
        <a:solidFill>
          <a:srgbClr val="31869B"/>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400" b="0">
              <a:latin typeface="Montserrat" panose="00000500000000000000" pitchFamily="2" charset="0"/>
            </a:rPr>
            <a:t>Llenado</a:t>
          </a:r>
          <a:r>
            <a:rPr lang="es-MX" sz="1400" b="0" baseline="0">
              <a:latin typeface="Montserrat" panose="00000500000000000000" pitchFamily="2" charset="0"/>
            </a:rPr>
            <a:t> de "Datos del prestador"</a:t>
          </a:r>
          <a:endParaRPr lang="es-MX" sz="1400" b="0">
            <a:latin typeface="Montserrat" panose="00000500000000000000" pitchFamily="2" charset="0"/>
          </a:endParaRPr>
        </a:p>
      </xdr:txBody>
    </xdr:sp>
    <xdr:clientData/>
  </xdr:twoCellAnchor>
  <xdr:twoCellAnchor>
    <xdr:from>
      <xdr:col>7</xdr:col>
      <xdr:colOff>371474</xdr:colOff>
      <xdr:row>1</xdr:row>
      <xdr:rowOff>514350</xdr:rowOff>
    </xdr:from>
    <xdr:to>
      <xdr:col>7</xdr:col>
      <xdr:colOff>371475</xdr:colOff>
      <xdr:row>3</xdr:row>
      <xdr:rowOff>186690</xdr:rowOff>
    </xdr:to>
    <xdr:cxnSp macro="">
      <xdr:nvCxnSpPr>
        <xdr:cNvPr id="115916" name="Conector recto de flecha 115915">
          <a:extLst>
            <a:ext uri="{FF2B5EF4-FFF2-40B4-BE49-F238E27FC236}">
              <a16:creationId xmlns:a16="http://schemas.microsoft.com/office/drawing/2014/main" id="{00000000-0008-0000-0200-0000CCC40100}"/>
            </a:ext>
          </a:extLst>
        </xdr:cNvPr>
        <xdr:cNvCxnSpPr>
          <a:cxnSpLocks/>
          <a:stCxn id="115712" idx="2"/>
          <a:endCxn id="9" idx="0"/>
        </xdr:cNvCxnSpPr>
      </xdr:nvCxnSpPr>
      <xdr:spPr>
        <a:xfrm>
          <a:off x="10182224" y="704850"/>
          <a:ext cx="1" cy="51054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371475</xdr:colOff>
      <xdr:row>6</xdr:row>
      <xdr:rowOff>53340</xdr:rowOff>
    </xdr:from>
    <xdr:to>
      <xdr:col>7</xdr:col>
      <xdr:colOff>371475</xdr:colOff>
      <xdr:row>7</xdr:row>
      <xdr:rowOff>175260</xdr:rowOff>
    </xdr:to>
    <xdr:cxnSp macro="">
      <xdr:nvCxnSpPr>
        <xdr:cNvPr id="115918" name="Conector recto de flecha 115917">
          <a:extLst>
            <a:ext uri="{FF2B5EF4-FFF2-40B4-BE49-F238E27FC236}">
              <a16:creationId xmlns:a16="http://schemas.microsoft.com/office/drawing/2014/main" id="{00000000-0008-0000-0200-0000CEC40100}"/>
            </a:ext>
          </a:extLst>
        </xdr:cNvPr>
        <xdr:cNvCxnSpPr>
          <a:stCxn id="9" idx="2"/>
          <a:endCxn id="115887" idx="0"/>
        </xdr:cNvCxnSpPr>
      </xdr:nvCxnSpPr>
      <xdr:spPr>
        <a:xfrm>
          <a:off x="10182225" y="2034540"/>
          <a:ext cx="0" cy="50292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371475</xdr:colOff>
      <xdr:row>9</xdr:row>
      <xdr:rowOff>3810</xdr:rowOff>
    </xdr:from>
    <xdr:to>
      <xdr:col>7</xdr:col>
      <xdr:colOff>371475</xdr:colOff>
      <xdr:row>10</xdr:row>
      <xdr:rowOff>144780</xdr:rowOff>
    </xdr:to>
    <xdr:cxnSp macro="">
      <xdr:nvCxnSpPr>
        <xdr:cNvPr id="115920" name="Conector recto de flecha 115919">
          <a:extLst>
            <a:ext uri="{FF2B5EF4-FFF2-40B4-BE49-F238E27FC236}">
              <a16:creationId xmlns:a16="http://schemas.microsoft.com/office/drawing/2014/main" id="{00000000-0008-0000-0200-0000D0C40100}"/>
            </a:ext>
          </a:extLst>
        </xdr:cNvPr>
        <xdr:cNvCxnSpPr>
          <a:stCxn id="115887" idx="2"/>
          <a:endCxn id="16" idx="0"/>
        </xdr:cNvCxnSpPr>
      </xdr:nvCxnSpPr>
      <xdr:spPr>
        <a:xfrm>
          <a:off x="10182225" y="2937510"/>
          <a:ext cx="0" cy="33147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371475</xdr:colOff>
      <xdr:row>13</xdr:row>
      <xdr:rowOff>561975</xdr:rowOff>
    </xdr:from>
    <xdr:to>
      <xdr:col>5</xdr:col>
      <xdr:colOff>590550</xdr:colOff>
      <xdr:row>14</xdr:row>
      <xdr:rowOff>57150</xdr:rowOff>
    </xdr:to>
    <xdr:sp macro="" textlink="">
      <xdr:nvSpPr>
        <xdr:cNvPr id="115940" name="CuadroTexto 115939">
          <a:extLst>
            <a:ext uri="{FF2B5EF4-FFF2-40B4-BE49-F238E27FC236}">
              <a16:creationId xmlns:a16="http://schemas.microsoft.com/office/drawing/2014/main" id="{00000000-0008-0000-0200-0000E4C40100}"/>
            </a:ext>
          </a:extLst>
        </xdr:cNvPr>
        <xdr:cNvSpPr txBox="1"/>
      </xdr:nvSpPr>
      <xdr:spPr>
        <a:xfrm>
          <a:off x="7896225" y="5591175"/>
          <a:ext cx="981075" cy="4476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050">
              <a:latin typeface="Montserrat" panose="00000500000000000000" pitchFamily="2" charset="0"/>
            </a:rPr>
            <a:t>Facilidad</a:t>
          </a:r>
          <a:r>
            <a:rPr lang="es-MX" sz="1050" baseline="0">
              <a:latin typeface="Montserrat" panose="00000500000000000000" pitchFamily="2" charset="0"/>
            </a:rPr>
            <a:t> SOFOM</a:t>
          </a:r>
          <a:endParaRPr lang="es-MX" sz="1050">
            <a:latin typeface="Montserrat" panose="00000500000000000000" pitchFamily="2" charset="0"/>
          </a:endParaRPr>
        </a:p>
      </xdr:txBody>
    </xdr:sp>
    <xdr:clientData/>
  </xdr:twoCellAnchor>
  <xdr:twoCellAnchor>
    <xdr:from>
      <xdr:col>6</xdr:col>
      <xdr:colOff>342900</xdr:colOff>
      <xdr:row>13</xdr:row>
      <xdr:rowOff>762000</xdr:rowOff>
    </xdr:from>
    <xdr:to>
      <xdr:col>8</xdr:col>
      <xdr:colOff>247650</xdr:colOff>
      <xdr:row>14</xdr:row>
      <xdr:rowOff>209550</xdr:rowOff>
    </xdr:to>
    <xdr:sp macro="" textlink="">
      <xdr:nvSpPr>
        <xdr:cNvPr id="115941" name="CuadroTexto 115940">
          <a:extLst>
            <a:ext uri="{FF2B5EF4-FFF2-40B4-BE49-F238E27FC236}">
              <a16:creationId xmlns:a16="http://schemas.microsoft.com/office/drawing/2014/main" id="{00000000-0008-0000-0200-0000E5C40100}"/>
            </a:ext>
          </a:extLst>
        </xdr:cNvPr>
        <xdr:cNvSpPr txBox="1"/>
      </xdr:nvSpPr>
      <xdr:spPr>
        <a:xfrm>
          <a:off x="9391650" y="5791200"/>
          <a:ext cx="1428750" cy="4000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050">
              <a:latin typeface="Montserrat" panose="00000500000000000000" pitchFamily="2" charset="0"/>
            </a:rPr>
            <a:t>Excepción Art 317</a:t>
          </a:r>
        </a:p>
      </xdr:txBody>
    </xdr:sp>
    <xdr:clientData/>
  </xdr:twoCellAnchor>
  <xdr:twoCellAnchor>
    <xdr:from>
      <xdr:col>4</xdr:col>
      <xdr:colOff>57151</xdr:colOff>
      <xdr:row>17</xdr:row>
      <xdr:rowOff>152400</xdr:rowOff>
    </xdr:from>
    <xdr:to>
      <xdr:col>5</xdr:col>
      <xdr:colOff>152401</xdr:colOff>
      <xdr:row>19</xdr:row>
      <xdr:rowOff>28575</xdr:rowOff>
    </xdr:to>
    <xdr:sp macro="" textlink="">
      <xdr:nvSpPr>
        <xdr:cNvPr id="115942" name="CuadroTexto 115941">
          <a:extLst>
            <a:ext uri="{FF2B5EF4-FFF2-40B4-BE49-F238E27FC236}">
              <a16:creationId xmlns:a16="http://schemas.microsoft.com/office/drawing/2014/main" id="{00000000-0008-0000-0200-0000E6C40100}"/>
            </a:ext>
          </a:extLst>
        </xdr:cNvPr>
        <xdr:cNvSpPr txBox="1"/>
      </xdr:nvSpPr>
      <xdr:spPr>
        <a:xfrm>
          <a:off x="7581901" y="8229600"/>
          <a:ext cx="857250" cy="257175"/>
        </a:xfrm>
        <a:prstGeom prst="rect">
          <a:avLst/>
        </a:prstGeom>
        <a:solidFill>
          <a:schemeClr val="bg2">
            <a:lumMod val="90000"/>
          </a:schemeClr>
        </a:solidFill>
        <a:ln w="19050" cmpd="sng">
          <a:solidFill>
            <a:schemeClr val="bg1">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050">
              <a:latin typeface="Montserrat" panose="00000500000000000000" pitchFamily="2" charset="0"/>
            </a:rPr>
            <a:t>Continuar</a:t>
          </a:r>
        </a:p>
      </xdr:txBody>
    </xdr:sp>
    <xdr:clientData/>
  </xdr:twoCellAnchor>
  <xdr:twoCellAnchor>
    <xdr:from>
      <xdr:col>4</xdr:col>
      <xdr:colOff>76200</xdr:colOff>
      <xdr:row>29</xdr:row>
      <xdr:rowOff>85725</xdr:rowOff>
    </xdr:from>
    <xdr:to>
      <xdr:col>5</xdr:col>
      <xdr:colOff>276225</xdr:colOff>
      <xdr:row>30</xdr:row>
      <xdr:rowOff>152400</xdr:rowOff>
    </xdr:to>
    <xdr:sp macro="" textlink="">
      <xdr:nvSpPr>
        <xdr:cNvPr id="115943" name="CuadroTexto 115942">
          <a:extLst>
            <a:ext uri="{FF2B5EF4-FFF2-40B4-BE49-F238E27FC236}">
              <a16:creationId xmlns:a16="http://schemas.microsoft.com/office/drawing/2014/main" id="{00000000-0008-0000-0200-0000E7C40100}"/>
            </a:ext>
          </a:extLst>
        </xdr:cNvPr>
        <xdr:cNvSpPr txBox="1"/>
      </xdr:nvSpPr>
      <xdr:spPr>
        <a:xfrm>
          <a:off x="7600950" y="10448925"/>
          <a:ext cx="962025" cy="257175"/>
        </a:xfrm>
        <a:prstGeom prst="rect">
          <a:avLst/>
        </a:prstGeom>
        <a:solidFill>
          <a:schemeClr val="bg2">
            <a:lumMod val="90000"/>
          </a:schemeClr>
        </a:solidFill>
        <a:ln w="19050" cmpd="sng">
          <a:solidFill>
            <a:schemeClr val="bg1">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050">
              <a:latin typeface="Montserrat" panose="00000500000000000000" pitchFamily="2" charset="0"/>
            </a:rPr>
            <a:t>Evaluación</a:t>
          </a:r>
        </a:p>
      </xdr:txBody>
    </xdr:sp>
    <xdr:clientData/>
  </xdr:twoCellAnchor>
  <xdr:twoCellAnchor>
    <xdr:from>
      <xdr:col>6</xdr:col>
      <xdr:colOff>352426</xdr:colOff>
      <xdr:row>19</xdr:row>
      <xdr:rowOff>19050</xdr:rowOff>
    </xdr:from>
    <xdr:to>
      <xdr:col>7</xdr:col>
      <xdr:colOff>561976</xdr:colOff>
      <xdr:row>21</xdr:row>
      <xdr:rowOff>66675</xdr:rowOff>
    </xdr:to>
    <xdr:sp macro="" textlink="">
      <xdr:nvSpPr>
        <xdr:cNvPr id="115944" name="CuadroTexto 115943">
          <a:extLst>
            <a:ext uri="{FF2B5EF4-FFF2-40B4-BE49-F238E27FC236}">
              <a16:creationId xmlns:a16="http://schemas.microsoft.com/office/drawing/2014/main" id="{00000000-0008-0000-0200-0000E8C40100}"/>
            </a:ext>
          </a:extLst>
        </xdr:cNvPr>
        <xdr:cNvSpPr txBox="1"/>
      </xdr:nvSpPr>
      <xdr:spPr>
        <a:xfrm>
          <a:off x="9401176" y="8477250"/>
          <a:ext cx="971550" cy="428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050">
              <a:latin typeface="Montserrat" panose="00000500000000000000" pitchFamily="2" charset="0"/>
            </a:rPr>
            <a:t>Excepción</a:t>
          </a:r>
          <a:r>
            <a:rPr lang="es-MX" sz="1050" baseline="0">
              <a:latin typeface="Montserrat" panose="00000500000000000000" pitchFamily="2" charset="0"/>
            </a:rPr>
            <a:t> I, V - XVII</a:t>
          </a:r>
          <a:endParaRPr lang="es-MX" sz="1050">
            <a:latin typeface="Montserrat" panose="00000500000000000000" pitchFamily="2" charset="0"/>
          </a:endParaRPr>
        </a:p>
      </xdr:txBody>
    </xdr:sp>
    <xdr:clientData/>
  </xdr:twoCellAnchor>
  <xdr:twoCellAnchor>
    <xdr:from>
      <xdr:col>9</xdr:col>
      <xdr:colOff>590550</xdr:colOff>
      <xdr:row>24</xdr:row>
      <xdr:rowOff>47626</xdr:rowOff>
    </xdr:from>
    <xdr:to>
      <xdr:col>10</xdr:col>
      <xdr:colOff>752475</xdr:colOff>
      <xdr:row>25</xdr:row>
      <xdr:rowOff>123826</xdr:rowOff>
    </xdr:to>
    <xdr:sp macro="" textlink="">
      <xdr:nvSpPr>
        <xdr:cNvPr id="115955" name="CuadroTexto 115954">
          <a:extLst>
            <a:ext uri="{FF2B5EF4-FFF2-40B4-BE49-F238E27FC236}">
              <a16:creationId xmlns:a16="http://schemas.microsoft.com/office/drawing/2014/main" id="{00000000-0008-0000-0200-0000F3C40100}"/>
            </a:ext>
          </a:extLst>
        </xdr:cNvPr>
        <xdr:cNvSpPr txBox="1"/>
      </xdr:nvSpPr>
      <xdr:spPr>
        <a:xfrm>
          <a:off x="11925300" y="9458326"/>
          <a:ext cx="923925" cy="266700"/>
        </a:xfrm>
        <a:prstGeom prst="rect">
          <a:avLst/>
        </a:prstGeom>
        <a:solidFill>
          <a:schemeClr val="bg2">
            <a:lumMod val="90000"/>
          </a:schemeClr>
        </a:solidFill>
        <a:ln w="19050" cmpd="sng">
          <a:solidFill>
            <a:schemeClr val="bg1">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050">
              <a:latin typeface="Montserrat" panose="00000500000000000000" pitchFamily="2" charset="0"/>
            </a:rPr>
            <a:t>Evaluación</a:t>
          </a:r>
        </a:p>
      </xdr:txBody>
    </xdr:sp>
    <xdr:clientData/>
  </xdr:twoCellAnchor>
  <xdr:twoCellAnchor>
    <xdr:from>
      <xdr:col>9</xdr:col>
      <xdr:colOff>419100</xdr:colOff>
      <xdr:row>29</xdr:row>
      <xdr:rowOff>152401</xdr:rowOff>
    </xdr:from>
    <xdr:to>
      <xdr:col>11</xdr:col>
      <xdr:colOff>38100</xdr:colOff>
      <xdr:row>31</xdr:row>
      <xdr:rowOff>47625</xdr:rowOff>
    </xdr:to>
    <xdr:sp macro="" textlink="">
      <xdr:nvSpPr>
        <xdr:cNvPr id="115956" name="CuadroTexto 115955">
          <a:extLst>
            <a:ext uri="{FF2B5EF4-FFF2-40B4-BE49-F238E27FC236}">
              <a16:creationId xmlns:a16="http://schemas.microsoft.com/office/drawing/2014/main" id="{00000000-0008-0000-0200-0000F4C40100}"/>
            </a:ext>
          </a:extLst>
        </xdr:cNvPr>
        <xdr:cNvSpPr txBox="1"/>
      </xdr:nvSpPr>
      <xdr:spPr>
        <a:xfrm>
          <a:off x="11753850" y="10515601"/>
          <a:ext cx="1143000" cy="276224"/>
        </a:xfrm>
        <a:prstGeom prst="rect">
          <a:avLst/>
        </a:prstGeom>
        <a:solidFill>
          <a:schemeClr val="bg2">
            <a:lumMod val="90000"/>
          </a:schemeClr>
        </a:solidFill>
        <a:ln w="19050" cmpd="sng">
          <a:solidFill>
            <a:schemeClr val="bg1">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050">
              <a:latin typeface="Montserrat" panose="00000500000000000000" pitchFamily="2" charset="0"/>
            </a:rPr>
            <a:t>Guardar</a:t>
          </a:r>
          <a:r>
            <a:rPr lang="es-MX" sz="1050" baseline="0">
              <a:latin typeface="Montserrat" panose="00000500000000000000" pitchFamily="2" charset="0"/>
            </a:rPr>
            <a:t> </a:t>
          </a:r>
          <a:r>
            <a:rPr lang="es-MX" sz="1050">
              <a:latin typeface="Montserrat" panose="00000500000000000000" pitchFamily="2" charset="0"/>
            </a:rPr>
            <a:t>datos</a:t>
          </a:r>
        </a:p>
      </xdr:txBody>
    </xdr:sp>
    <xdr:clientData/>
  </xdr:twoCellAnchor>
  <xdr:twoCellAnchor>
    <xdr:from>
      <xdr:col>9</xdr:col>
      <xdr:colOff>238126</xdr:colOff>
      <xdr:row>14</xdr:row>
      <xdr:rowOff>533400</xdr:rowOff>
    </xdr:from>
    <xdr:to>
      <xdr:col>10</xdr:col>
      <xdr:colOff>447676</xdr:colOff>
      <xdr:row>15</xdr:row>
      <xdr:rowOff>9525</xdr:rowOff>
    </xdr:to>
    <xdr:sp macro="" textlink="">
      <xdr:nvSpPr>
        <xdr:cNvPr id="115957" name="CuadroTexto 115956">
          <a:extLst>
            <a:ext uri="{FF2B5EF4-FFF2-40B4-BE49-F238E27FC236}">
              <a16:creationId xmlns:a16="http://schemas.microsoft.com/office/drawing/2014/main" id="{00000000-0008-0000-0200-0000F5C40100}"/>
            </a:ext>
          </a:extLst>
        </xdr:cNvPr>
        <xdr:cNvSpPr txBox="1"/>
      </xdr:nvSpPr>
      <xdr:spPr>
        <a:xfrm>
          <a:off x="11572876" y="6515100"/>
          <a:ext cx="971550" cy="428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050">
              <a:latin typeface="Montserrat" panose="00000500000000000000" pitchFamily="2" charset="0"/>
            </a:rPr>
            <a:t>Excepción</a:t>
          </a:r>
          <a:r>
            <a:rPr lang="es-MX" sz="1050" baseline="0">
              <a:latin typeface="Montserrat" panose="00000500000000000000" pitchFamily="2" charset="0"/>
            </a:rPr>
            <a:t> II, III, IV</a:t>
          </a:r>
          <a:endParaRPr lang="es-MX" sz="1050">
            <a:latin typeface="Montserrat" panose="00000500000000000000" pitchFamily="2" charset="0"/>
          </a:endParaRPr>
        </a:p>
      </xdr:txBody>
    </xdr:sp>
    <xdr:clientData/>
  </xdr:twoCellAnchor>
  <xdr:twoCellAnchor>
    <xdr:from>
      <xdr:col>10</xdr:col>
      <xdr:colOff>561976</xdr:colOff>
      <xdr:row>15</xdr:row>
      <xdr:rowOff>590551</xdr:rowOff>
    </xdr:from>
    <xdr:to>
      <xdr:col>11</xdr:col>
      <xdr:colOff>657226</xdr:colOff>
      <xdr:row>15</xdr:row>
      <xdr:rowOff>857251</xdr:rowOff>
    </xdr:to>
    <xdr:sp macro="" textlink="">
      <xdr:nvSpPr>
        <xdr:cNvPr id="115958" name="CuadroTexto 115957">
          <a:extLst>
            <a:ext uri="{FF2B5EF4-FFF2-40B4-BE49-F238E27FC236}">
              <a16:creationId xmlns:a16="http://schemas.microsoft.com/office/drawing/2014/main" id="{00000000-0008-0000-0200-0000F6C40100}"/>
            </a:ext>
          </a:extLst>
        </xdr:cNvPr>
        <xdr:cNvSpPr txBox="1"/>
      </xdr:nvSpPr>
      <xdr:spPr>
        <a:xfrm>
          <a:off x="12658726" y="7524751"/>
          <a:ext cx="857250" cy="266700"/>
        </a:xfrm>
        <a:prstGeom prst="rect">
          <a:avLst/>
        </a:prstGeom>
        <a:solidFill>
          <a:schemeClr val="bg2">
            <a:lumMod val="90000"/>
          </a:schemeClr>
        </a:solidFill>
        <a:ln w="19050" cmpd="sng">
          <a:solidFill>
            <a:schemeClr val="bg1">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050">
              <a:latin typeface="Montserrat" panose="00000500000000000000" pitchFamily="2" charset="0"/>
            </a:rPr>
            <a:t>Continuar</a:t>
          </a:r>
        </a:p>
      </xdr:txBody>
    </xdr:sp>
    <xdr:clientData/>
  </xdr:twoCellAnchor>
  <xdr:twoCellAnchor>
    <xdr:from>
      <xdr:col>12</xdr:col>
      <xdr:colOff>542926</xdr:colOff>
      <xdr:row>18</xdr:row>
      <xdr:rowOff>85725</xdr:rowOff>
    </xdr:from>
    <xdr:to>
      <xdr:col>13</xdr:col>
      <xdr:colOff>714376</xdr:colOff>
      <xdr:row>19</xdr:row>
      <xdr:rowOff>171450</xdr:rowOff>
    </xdr:to>
    <xdr:sp macro="" textlink="">
      <xdr:nvSpPr>
        <xdr:cNvPr id="115959" name="CuadroTexto 115958">
          <a:extLst>
            <a:ext uri="{FF2B5EF4-FFF2-40B4-BE49-F238E27FC236}">
              <a16:creationId xmlns:a16="http://schemas.microsoft.com/office/drawing/2014/main" id="{00000000-0008-0000-0200-0000F7C40100}"/>
            </a:ext>
          </a:extLst>
        </xdr:cNvPr>
        <xdr:cNvSpPr txBox="1"/>
      </xdr:nvSpPr>
      <xdr:spPr>
        <a:xfrm>
          <a:off x="14163676" y="8353425"/>
          <a:ext cx="933450" cy="276225"/>
        </a:xfrm>
        <a:prstGeom prst="rect">
          <a:avLst/>
        </a:prstGeom>
        <a:solidFill>
          <a:schemeClr val="bg2">
            <a:lumMod val="90000"/>
          </a:schemeClr>
        </a:solidFill>
        <a:ln w="19050" cmpd="sng">
          <a:solidFill>
            <a:schemeClr val="bg1">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050">
              <a:latin typeface="Montserrat" panose="00000500000000000000" pitchFamily="2" charset="0"/>
            </a:rPr>
            <a:t>Evaluación</a:t>
          </a:r>
        </a:p>
      </xdr:txBody>
    </xdr:sp>
    <xdr:clientData/>
  </xdr:twoCellAnchor>
  <xdr:twoCellAnchor>
    <xdr:from>
      <xdr:col>20</xdr:col>
      <xdr:colOff>381001</xdr:colOff>
      <xdr:row>14</xdr:row>
      <xdr:rowOff>523876</xdr:rowOff>
    </xdr:from>
    <xdr:to>
      <xdr:col>21</xdr:col>
      <xdr:colOff>571501</xdr:colOff>
      <xdr:row>14</xdr:row>
      <xdr:rowOff>771526</xdr:rowOff>
    </xdr:to>
    <xdr:sp macro="" textlink="">
      <xdr:nvSpPr>
        <xdr:cNvPr id="115962" name="CuadroTexto 115961">
          <a:extLst>
            <a:ext uri="{FF2B5EF4-FFF2-40B4-BE49-F238E27FC236}">
              <a16:creationId xmlns:a16="http://schemas.microsoft.com/office/drawing/2014/main" id="{00000000-0008-0000-0200-0000FAC40100}"/>
            </a:ext>
          </a:extLst>
        </xdr:cNvPr>
        <xdr:cNvSpPr txBox="1"/>
      </xdr:nvSpPr>
      <xdr:spPr>
        <a:xfrm>
          <a:off x="20097751" y="6505576"/>
          <a:ext cx="952500" cy="247650"/>
        </a:xfrm>
        <a:prstGeom prst="rect">
          <a:avLst/>
        </a:prstGeom>
        <a:solidFill>
          <a:schemeClr val="bg2">
            <a:lumMod val="90000"/>
          </a:schemeClr>
        </a:solidFill>
        <a:ln w="19050" cmpd="sng">
          <a:solidFill>
            <a:schemeClr val="bg1">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050">
              <a:latin typeface="Montserrat" panose="00000500000000000000" pitchFamily="2" charset="0"/>
            </a:rPr>
            <a:t>Evaluación</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76200</xdr:colOff>
          <xdr:row>1</xdr:row>
          <xdr:rowOff>76200</xdr:rowOff>
        </xdr:from>
        <xdr:to>
          <xdr:col>6</xdr:col>
          <xdr:colOff>161925</xdr:colOff>
          <xdr:row>1</xdr:row>
          <xdr:rowOff>476250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300-0000012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000" b="0" i="0" u="none" strike="noStrike" baseline="0">
                  <a:solidFill>
                    <a:srgbClr val="000000"/>
                  </a:solidFill>
                  <a:latin typeface="Montserrat"/>
                </a:rPr>
                <a:t>Limpiar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742950</xdr:colOff>
          <xdr:row>1</xdr:row>
          <xdr:rowOff>76200</xdr:rowOff>
        </xdr:from>
        <xdr:to>
          <xdr:col>9</xdr:col>
          <xdr:colOff>828675</xdr:colOff>
          <xdr:row>1</xdr:row>
          <xdr:rowOff>476250</xdr:rowOff>
        </xdr:to>
        <xdr:sp macro="" textlink="">
          <xdr:nvSpPr>
            <xdr:cNvPr id="11269" name="Button 5" hidden="1">
              <a:extLst>
                <a:ext uri="{63B3BB69-23CF-44E3-9099-C40C66FF867C}">
                  <a14:compatExt spid="_x0000_s11269"/>
                </a:ext>
                <a:ext uri="{FF2B5EF4-FFF2-40B4-BE49-F238E27FC236}">
                  <a16:creationId xmlns:a16="http://schemas.microsoft.com/office/drawing/2014/main" id="{00000000-0008-0000-0300-0000052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000" b="0" i="0" u="none" strike="noStrike" baseline="0">
                  <a:solidFill>
                    <a:srgbClr val="000000"/>
                  </a:solidFill>
                  <a:latin typeface="Montserrat"/>
                </a:rPr>
                <a:t>Continuar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295275</xdr:colOff>
          <xdr:row>1</xdr:row>
          <xdr:rowOff>76200</xdr:rowOff>
        </xdr:from>
        <xdr:to>
          <xdr:col>7</xdr:col>
          <xdr:colOff>381000</xdr:colOff>
          <xdr:row>1</xdr:row>
          <xdr:rowOff>476250</xdr:rowOff>
        </xdr:to>
        <xdr:sp macro="" textlink="">
          <xdr:nvSpPr>
            <xdr:cNvPr id="11270" name="Button 6" hidden="1">
              <a:extLst>
                <a:ext uri="{63B3BB69-23CF-44E3-9099-C40C66FF867C}">
                  <a14:compatExt spid="_x0000_s11270"/>
                </a:ext>
                <a:ext uri="{FF2B5EF4-FFF2-40B4-BE49-F238E27FC236}">
                  <a16:creationId xmlns:a16="http://schemas.microsoft.com/office/drawing/2014/main" id="{00000000-0008-0000-0300-0000062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000" b="0" i="0" u="none" strike="noStrike" baseline="0">
                  <a:solidFill>
                    <a:srgbClr val="000000"/>
                  </a:solidFill>
                  <a:latin typeface="Montserrat"/>
                </a:rPr>
                <a:t>Regresar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514350</xdr:colOff>
          <xdr:row>1</xdr:row>
          <xdr:rowOff>76200</xdr:rowOff>
        </xdr:from>
        <xdr:to>
          <xdr:col>8</xdr:col>
          <xdr:colOff>600075</xdr:colOff>
          <xdr:row>1</xdr:row>
          <xdr:rowOff>476250</xdr:rowOff>
        </xdr:to>
        <xdr:sp macro="" textlink="">
          <xdr:nvSpPr>
            <xdr:cNvPr id="11271" name="Button 7" hidden="1">
              <a:extLst>
                <a:ext uri="{63B3BB69-23CF-44E3-9099-C40C66FF867C}">
                  <a14:compatExt spid="_x0000_s11271"/>
                </a:ext>
                <a:ext uri="{FF2B5EF4-FFF2-40B4-BE49-F238E27FC236}">
                  <a16:creationId xmlns:a16="http://schemas.microsoft.com/office/drawing/2014/main" id="{00000000-0008-0000-0300-0000072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000" b="0" i="0" u="none" strike="noStrike" baseline="0">
                  <a:solidFill>
                    <a:srgbClr val="000000"/>
                  </a:solidFill>
                  <a:latin typeface="Montserrat"/>
                </a:rPr>
                <a:t>Referencia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962025</xdr:colOff>
          <xdr:row>1</xdr:row>
          <xdr:rowOff>76200</xdr:rowOff>
        </xdr:from>
        <xdr:to>
          <xdr:col>9</xdr:col>
          <xdr:colOff>2009775</xdr:colOff>
          <xdr:row>1</xdr:row>
          <xdr:rowOff>476250</xdr:rowOff>
        </xdr:to>
        <xdr:sp macro="" textlink="">
          <xdr:nvSpPr>
            <xdr:cNvPr id="11274" name="Button 10" hidden="1">
              <a:extLst>
                <a:ext uri="{63B3BB69-23CF-44E3-9099-C40C66FF867C}">
                  <a14:compatExt spid="_x0000_s11274"/>
                </a:ext>
                <a:ext uri="{FF2B5EF4-FFF2-40B4-BE49-F238E27FC236}">
                  <a16:creationId xmlns:a16="http://schemas.microsoft.com/office/drawing/2014/main" id="{00000000-0008-0000-0300-00000A2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000" b="0" i="0" u="none" strike="noStrike" baseline="0">
                  <a:solidFill>
                    <a:srgbClr val="000000"/>
                  </a:solidFill>
                  <a:latin typeface="Montserrat"/>
                </a:rPr>
                <a:t>Subcontratado</a:t>
              </a:r>
            </a:p>
          </xdr:txBody>
        </xdr:sp>
        <xdr:clientData fPrintsWithSheet="0"/>
      </xdr:twoCellAnchor>
    </mc:Choice>
    <mc:Fallback/>
  </mc:AlternateContent>
  <xdr:twoCellAnchor editAs="oneCell">
    <xdr:from>
      <xdr:col>0</xdr:col>
      <xdr:colOff>0</xdr:colOff>
      <xdr:row>0</xdr:row>
      <xdr:rowOff>0</xdr:rowOff>
    </xdr:from>
    <xdr:to>
      <xdr:col>2</xdr:col>
      <xdr:colOff>160268</xdr:colOff>
      <xdr:row>3</xdr:row>
      <xdr:rowOff>3542</xdr:rowOff>
    </xdr:to>
    <xdr:pic>
      <xdr:nvPicPr>
        <xdr:cNvPr id="2" name="Imagen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808093" cy="1028432"/>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95250</xdr:colOff>
          <xdr:row>1</xdr:row>
          <xdr:rowOff>76200</xdr:rowOff>
        </xdr:from>
        <xdr:to>
          <xdr:col>6</xdr:col>
          <xdr:colOff>180975</xdr:colOff>
          <xdr:row>1</xdr:row>
          <xdr:rowOff>476250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400-000001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000" b="0" i="0" u="none" strike="noStrike" baseline="0">
                  <a:solidFill>
                    <a:srgbClr val="000000"/>
                  </a:solidFill>
                  <a:latin typeface="Montserrat"/>
                </a:rPr>
                <a:t>Limpiar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733425</xdr:colOff>
          <xdr:row>1</xdr:row>
          <xdr:rowOff>76200</xdr:rowOff>
        </xdr:from>
        <xdr:to>
          <xdr:col>9</xdr:col>
          <xdr:colOff>819150</xdr:colOff>
          <xdr:row>1</xdr:row>
          <xdr:rowOff>476250</xdr:rowOff>
        </xdr:to>
        <xdr:sp macro="" textlink="">
          <xdr:nvSpPr>
            <xdr:cNvPr id="12292" name="Button 4" hidden="1">
              <a:extLst>
                <a:ext uri="{63B3BB69-23CF-44E3-9099-C40C66FF867C}">
                  <a14:compatExt spid="_x0000_s12292"/>
                </a:ext>
                <a:ext uri="{FF2B5EF4-FFF2-40B4-BE49-F238E27FC236}">
                  <a16:creationId xmlns:a16="http://schemas.microsoft.com/office/drawing/2014/main" id="{00000000-0008-0000-0400-000004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000" b="0" i="0" u="none" strike="noStrike" baseline="0">
                  <a:solidFill>
                    <a:srgbClr val="000000"/>
                  </a:solidFill>
                  <a:latin typeface="Montserrat"/>
                </a:rPr>
                <a:t>Continuar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304800</xdr:colOff>
          <xdr:row>1</xdr:row>
          <xdr:rowOff>76200</xdr:rowOff>
        </xdr:from>
        <xdr:to>
          <xdr:col>7</xdr:col>
          <xdr:colOff>390525</xdr:colOff>
          <xdr:row>1</xdr:row>
          <xdr:rowOff>476250</xdr:rowOff>
        </xdr:to>
        <xdr:sp macro="" textlink="">
          <xdr:nvSpPr>
            <xdr:cNvPr id="12293" name="Button 5" hidden="1">
              <a:extLst>
                <a:ext uri="{63B3BB69-23CF-44E3-9099-C40C66FF867C}">
                  <a14:compatExt spid="_x0000_s12293"/>
                </a:ext>
                <a:ext uri="{FF2B5EF4-FFF2-40B4-BE49-F238E27FC236}">
                  <a16:creationId xmlns:a16="http://schemas.microsoft.com/office/drawing/2014/main" id="{00000000-0008-0000-0400-000005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000" b="0" i="0" u="none" strike="noStrike" baseline="0">
                  <a:solidFill>
                    <a:srgbClr val="000000"/>
                  </a:solidFill>
                  <a:latin typeface="Montserrat"/>
                </a:rPr>
                <a:t>Regresar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514350</xdr:colOff>
          <xdr:row>1</xdr:row>
          <xdr:rowOff>76200</xdr:rowOff>
        </xdr:from>
        <xdr:to>
          <xdr:col>8</xdr:col>
          <xdr:colOff>600075</xdr:colOff>
          <xdr:row>1</xdr:row>
          <xdr:rowOff>476250</xdr:rowOff>
        </xdr:to>
        <xdr:sp macro="" textlink="">
          <xdr:nvSpPr>
            <xdr:cNvPr id="12294" name="Button 6" hidden="1">
              <a:extLst>
                <a:ext uri="{63B3BB69-23CF-44E3-9099-C40C66FF867C}">
                  <a14:compatExt spid="_x0000_s12294"/>
                </a:ext>
                <a:ext uri="{FF2B5EF4-FFF2-40B4-BE49-F238E27FC236}">
                  <a16:creationId xmlns:a16="http://schemas.microsoft.com/office/drawing/2014/main" id="{00000000-0008-0000-0400-000006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000" b="0" i="0" u="none" strike="noStrike" baseline="0">
                  <a:solidFill>
                    <a:srgbClr val="000000"/>
                  </a:solidFill>
                  <a:latin typeface="Montserrat"/>
                </a:rPr>
                <a:t>Referencia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942975</xdr:colOff>
          <xdr:row>1</xdr:row>
          <xdr:rowOff>66675</xdr:rowOff>
        </xdr:from>
        <xdr:to>
          <xdr:col>9</xdr:col>
          <xdr:colOff>1990725</xdr:colOff>
          <xdr:row>1</xdr:row>
          <xdr:rowOff>466725</xdr:rowOff>
        </xdr:to>
        <xdr:sp macro="" textlink="">
          <xdr:nvSpPr>
            <xdr:cNvPr id="12295" name="Button 7" hidden="1">
              <a:extLst>
                <a:ext uri="{63B3BB69-23CF-44E3-9099-C40C66FF867C}">
                  <a14:compatExt spid="_x0000_s12295"/>
                </a:ext>
                <a:ext uri="{FF2B5EF4-FFF2-40B4-BE49-F238E27FC236}">
                  <a16:creationId xmlns:a16="http://schemas.microsoft.com/office/drawing/2014/main" id="{00000000-0008-0000-0400-000007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000" b="0" i="0" u="none" strike="noStrike" baseline="0">
                  <a:solidFill>
                    <a:srgbClr val="000000"/>
                  </a:solidFill>
                  <a:latin typeface="Montserrat"/>
                </a:rPr>
                <a:t>Subcontratado</a:t>
              </a:r>
            </a:p>
          </xdr:txBody>
        </xdr:sp>
        <xdr:clientData fPrintsWithSheet="0"/>
      </xdr:twoCellAnchor>
    </mc:Choice>
    <mc:Fallback/>
  </mc:AlternateContent>
  <xdr:twoCellAnchor editAs="oneCell">
    <xdr:from>
      <xdr:col>0</xdr:col>
      <xdr:colOff>0</xdr:colOff>
      <xdr:row>0</xdr:row>
      <xdr:rowOff>0</xdr:rowOff>
    </xdr:from>
    <xdr:to>
      <xdr:col>2</xdr:col>
      <xdr:colOff>160268</xdr:colOff>
      <xdr:row>2</xdr:row>
      <xdr:rowOff>247382</xdr:rowOff>
    </xdr:to>
    <xdr:pic>
      <xdr:nvPicPr>
        <xdr:cNvPr id="3" name="Imagen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808093" cy="1028432"/>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152400</xdr:colOff>
          <xdr:row>1</xdr:row>
          <xdr:rowOff>95250</xdr:rowOff>
        </xdr:from>
        <xdr:to>
          <xdr:col>5</xdr:col>
          <xdr:colOff>238125</xdr:colOff>
          <xdr:row>1</xdr:row>
          <xdr:rowOff>495300</xdr:rowOff>
        </xdr:to>
        <xdr:sp macro="" textlink="">
          <xdr:nvSpPr>
            <xdr:cNvPr id="92164" name="Button 4" hidden="1">
              <a:extLst>
                <a:ext uri="{63B3BB69-23CF-44E3-9099-C40C66FF867C}">
                  <a14:compatExt spid="_x0000_s92164"/>
                </a:ext>
                <a:ext uri="{FF2B5EF4-FFF2-40B4-BE49-F238E27FC236}">
                  <a16:creationId xmlns:a16="http://schemas.microsoft.com/office/drawing/2014/main" id="{00000000-0008-0000-0600-0000046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000" b="0" i="0" u="none" strike="noStrike" baseline="0">
                  <a:solidFill>
                    <a:srgbClr val="000000"/>
                  </a:solidFill>
                  <a:latin typeface="Montserrat"/>
                </a:rPr>
                <a:t>Limpiar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561975</xdr:colOff>
          <xdr:row>1</xdr:row>
          <xdr:rowOff>95250</xdr:rowOff>
        </xdr:from>
        <xdr:to>
          <xdr:col>6</xdr:col>
          <xdr:colOff>647700</xdr:colOff>
          <xdr:row>1</xdr:row>
          <xdr:rowOff>495300</xdr:rowOff>
        </xdr:to>
        <xdr:sp macro="" textlink="">
          <xdr:nvSpPr>
            <xdr:cNvPr id="92165" name="Button 5" hidden="1">
              <a:extLst>
                <a:ext uri="{63B3BB69-23CF-44E3-9099-C40C66FF867C}">
                  <a14:compatExt spid="_x0000_s92165"/>
                </a:ext>
                <a:ext uri="{FF2B5EF4-FFF2-40B4-BE49-F238E27FC236}">
                  <a16:creationId xmlns:a16="http://schemas.microsoft.com/office/drawing/2014/main" id="{00000000-0008-0000-0600-0000056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000" b="0" i="0" u="none" strike="noStrike" baseline="0">
                  <a:solidFill>
                    <a:srgbClr val="000000"/>
                  </a:solidFill>
                  <a:latin typeface="Montserrat"/>
                </a:rPr>
                <a:t>Regresar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xdr:row>
          <xdr:rowOff>95250</xdr:rowOff>
        </xdr:from>
        <xdr:to>
          <xdr:col>6</xdr:col>
          <xdr:colOff>1981200</xdr:colOff>
          <xdr:row>1</xdr:row>
          <xdr:rowOff>495300</xdr:rowOff>
        </xdr:to>
        <xdr:sp macro="" textlink="">
          <xdr:nvSpPr>
            <xdr:cNvPr id="92166" name="Button 6" hidden="1">
              <a:extLst>
                <a:ext uri="{63B3BB69-23CF-44E3-9099-C40C66FF867C}">
                  <a14:compatExt spid="_x0000_s92166"/>
                </a:ext>
                <a:ext uri="{FF2B5EF4-FFF2-40B4-BE49-F238E27FC236}">
                  <a16:creationId xmlns:a16="http://schemas.microsoft.com/office/drawing/2014/main" id="{00000000-0008-0000-0600-0000066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000" b="0" i="0" u="none" strike="noStrike" baseline="0">
                  <a:solidFill>
                    <a:srgbClr val="000000"/>
                  </a:solidFill>
                  <a:latin typeface="Montserrat"/>
                </a:rPr>
                <a:t>Evaluación</a:t>
              </a:r>
            </a:p>
          </xdr:txBody>
        </xdr:sp>
        <xdr:clientData fPrintsWithSheet="0"/>
      </xdr:twoCellAnchor>
    </mc:Choice>
    <mc:Fallback/>
  </mc:AlternateContent>
  <xdr:twoCellAnchor editAs="oneCell">
    <xdr:from>
      <xdr:col>0</xdr:col>
      <xdr:colOff>0</xdr:colOff>
      <xdr:row>0</xdr:row>
      <xdr:rowOff>0</xdr:rowOff>
    </xdr:from>
    <xdr:to>
      <xdr:col>2</xdr:col>
      <xdr:colOff>646043</xdr:colOff>
      <xdr:row>2</xdr:row>
      <xdr:rowOff>247382</xdr:rowOff>
    </xdr:to>
    <xdr:pic>
      <xdr:nvPicPr>
        <xdr:cNvPr id="2" name="Imagen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808093" cy="1028432"/>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390525</xdr:colOff>
          <xdr:row>6</xdr:row>
          <xdr:rowOff>142875</xdr:rowOff>
        </xdr:from>
        <xdr:to>
          <xdr:col>2</xdr:col>
          <xdr:colOff>790575</xdr:colOff>
          <xdr:row>6</xdr:row>
          <xdr:rowOff>447675</xdr:rowOff>
        </xdr:to>
        <xdr:sp macro="" textlink="">
          <xdr:nvSpPr>
            <xdr:cNvPr id="8193" name="Check Box 1" hidden="1">
              <a:extLst>
                <a:ext uri="{63B3BB69-23CF-44E3-9099-C40C66FF867C}">
                  <a14:compatExt spid="_x0000_s8193"/>
                </a:ext>
                <a:ext uri="{FF2B5EF4-FFF2-40B4-BE49-F238E27FC236}">
                  <a16:creationId xmlns:a16="http://schemas.microsoft.com/office/drawing/2014/main" id="{00000000-0008-0000-0700-00000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390525</xdr:colOff>
          <xdr:row>7</xdr:row>
          <xdr:rowOff>381000</xdr:rowOff>
        </xdr:from>
        <xdr:to>
          <xdr:col>2</xdr:col>
          <xdr:colOff>847725</xdr:colOff>
          <xdr:row>7</xdr:row>
          <xdr:rowOff>695325</xdr:rowOff>
        </xdr:to>
        <xdr:sp macro="" textlink="">
          <xdr:nvSpPr>
            <xdr:cNvPr id="8195" name="Check Box 3" hidden="1">
              <a:extLst>
                <a:ext uri="{63B3BB69-23CF-44E3-9099-C40C66FF867C}">
                  <a14:compatExt spid="_x0000_s8195"/>
                </a:ext>
                <a:ext uri="{FF2B5EF4-FFF2-40B4-BE49-F238E27FC236}">
                  <a16:creationId xmlns:a16="http://schemas.microsoft.com/office/drawing/2014/main" id="{00000000-0008-0000-0700-00000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390525</xdr:colOff>
          <xdr:row>8</xdr:row>
          <xdr:rowOff>952500</xdr:rowOff>
        </xdr:from>
        <xdr:to>
          <xdr:col>2</xdr:col>
          <xdr:colOff>895350</xdr:colOff>
          <xdr:row>8</xdr:row>
          <xdr:rowOff>1257300</xdr:rowOff>
        </xdr:to>
        <xdr:sp macro="" textlink="">
          <xdr:nvSpPr>
            <xdr:cNvPr id="8196" name="Check Box 4" hidden="1">
              <a:extLst>
                <a:ext uri="{63B3BB69-23CF-44E3-9099-C40C66FF867C}">
                  <a14:compatExt spid="_x0000_s8196"/>
                </a:ext>
                <a:ext uri="{FF2B5EF4-FFF2-40B4-BE49-F238E27FC236}">
                  <a16:creationId xmlns:a16="http://schemas.microsoft.com/office/drawing/2014/main" id="{00000000-0008-0000-0700-00000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390525</xdr:colOff>
          <xdr:row>9</xdr:row>
          <xdr:rowOff>885825</xdr:rowOff>
        </xdr:from>
        <xdr:to>
          <xdr:col>2</xdr:col>
          <xdr:colOff>895350</xdr:colOff>
          <xdr:row>9</xdr:row>
          <xdr:rowOff>1190625</xdr:rowOff>
        </xdr:to>
        <xdr:sp macro="" textlink="">
          <xdr:nvSpPr>
            <xdr:cNvPr id="8197" name="Check Box 5" hidden="1">
              <a:extLst>
                <a:ext uri="{63B3BB69-23CF-44E3-9099-C40C66FF867C}">
                  <a14:compatExt spid="_x0000_s8197"/>
                </a:ext>
                <a:ext uri="{FF2B5EF4-FFF2-40B4-BE49-F238E27FC236}">
                  <a16:creationId xmlns:a16="http://schemas.microsoft.com/office/drawing/2014/main" id="{00000000-0008-0000-0700-00000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390525</xdr:colOff>
          <xdr:row>10</xdr:row>
          <xdr:rowOff>533400</xdr:rowOff>
        </xdr:from>
        <xdr:to>
          <xdr:col>2</xdr:col>
          <xdr:colOff>895350</xdr:colOff>
          <xdr:row>10</xdr:row>
          <xdr:rowOff>838200</xdr:rowOff>
        </xdr:to>
        <xdr:sp macro="" textlink="">
          <xdr:nvSpPr>
            <xdr:cNvPr id="8198" name="Check Box 6" hidden="1">
              <a:extLst>
                <a:ext uri="{63B3BB69-23CF-44E3-9099-C40C66FF867C}">
                  <a14:compatExt spid="_x0000_s8198"/>
                </a:ext>
                <a:ext uri="{FF2B5EF4-FFF2-40B4-BE49-F238E27FC236}">
                  <a16:creationId xmlns:a16="http://schemas.microsoft.com/office/drawing/2014/main" id="{00000000-0008-0000-0700-00000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390525</xdr:colOff>
          <xdr:row>10</xdr:row>
          <xdr:rowOff>1276350</xdr:rowOff>
        </xdr:from>
        <xdr:to>
          <xdr:col>2</xdr:col>
          <xdr:colOff>895350</xdr:colOff>
          <xdr:row>12</xdr:row>
          <xdr:rowOff>47625</xdr:rowOff>
        </xdr:to>
        <xdr:sp macro="" textlink="">
          <xdr:nvSpPr>
            <xdr:cNvPr id="8199" name="Check Box 7" hidden="1">
              <a:extLst>
                <a:ext uri="{63B3BB69-23CF-44E3-9099-C40C66FF867C}">
                  <a14:compatExt spid="_x0000_s8199"/>
                </a:ext>
                <a:ext uri="{FF2B5EF4-FFF2-40B4-BE49-F238E27FC236}">
                  <a16:creationId xmlns:a16="http://schemas.microsoft.com/office/drawing/2014/main" id="{00000000-0008-0000-0700-00000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390525</xdr:colOff>
          <xdr:row>12</xdr:row>
          <xdr:rowOff>323850</xdr:rowOff>
        </xdr:from>
        <xdr:to>
          <xdr:col>2</xdr:col>
          <xdr:colOff>895350</xdr:colOff>
          <xdr:row>12</xdr:row>
          <xdr:rowOff>628650</xdr:rowOff>
        </xdr:to>
        <xdr:sp macro="" textlink="">
          <xdr:nvSpPr>
            <xdr:cNvPr id="8200" name="Check Box 8" hidden="1">
              <a:extLst>
                <a:ext uri="{63B3BB69-23CF-44E3-9099-C40C66FF867C}">
                  <a14:compatExt spid="_x0000_s8200"/>
                </a:ext>
                <a:ext uri="{FF2B5EF4-FFF2-40B4-BE49-F238E27FC236}">
                  <a16:creationId xmlns:a16="http://schemas.microsoft.com/office/drawing/2014/main" id="{00000000-0008-0000-0700-00000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390525</xdr:colOff>
          <xdr:row>13</xdr:row>
          <xdr:rowOff>333375</xdr:rowOff>
        </xdr:from>
        <xdr:to>
          <xdr:col>2</xdr:col>
          <xdr:colOff>895350</xdr:colOff>
          <xdr:row>13</xdr:row>
          <xdr:rowOff>638175</xdr:rowOff>
        </xdr:to>
        <xdr:sp macro="" textlink="">
          <xdr:nvSpPr>
            <xdr:cNvPr id="8201" name="Check Box 9" hidden="1">
              <a:extLst>
                <a:ext uri="{63B3BB69-23CF-44E3-9099-C40C66FF867C}">
                  <a14:compatExt spid="_x0000_s8201"/>
                </a:ext>
                <a:ext uri="{FF2B5EF4-FFF2-40B4-BE49-F238E27FC236}">
                  <a16:creationId xmlns:a16="http://schemas.microsoft.com/office/drawing/2014/main" id="{00000000-0008-0000-0700-00000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390525</xdr:colOff>
          <xdr:row>14</xdr:row>
          <xdr:rowOff>857250</xdr:rowOff>
        </xdr:from>
        <xdr:to>
          <xdr:col>2</xdr:col>
          <xdr:colOff>895350</xdr:colOff>
          <xdr:row>14</xdr:row>
          <xdr:rowOff>1162050</xdr:rowOff>
        </xdr:to>
        <xdr:sp macro="" textlink="">
          <xdr:nvSpPr>
            <xdr:cNvPr id="8202" name="Check Box 10" hidden="1">
              <a:extLst>
                <a:ext uri="{63B3BB69-23CF-44E3-9099-C40C66FF867C}">
                  <a14:compatExt spid="_x0000_s8202"/>
                </a:ext>
                <a:ext uri="{FF2B5EF4-FFF2-40B4-BE49-F238E27FC236}">
                  <a16:creationId xmlns:a16="http://schemas.microsoft.com/office/drawing/2014/main" id="{00000000-0008-0000-0700-00000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390525</xdr:colOff>
          <xdr:row>15</xdr:row>
          <xdr:rowOff>161925</xdr:rowOff>
        </xdr:from>
        <xdr:to>
          <xdr:col>2</xdr:col>
          <xdr:colOff>895350</xdr:colOff>
          <xdr:row>15</xdr:row>
          <xdr:rowOff>466725</xdr:rowOff>
        </xdr:to>
        <xdr:sp macro="" textlink="">
          <xdr:nvSpPr>
            <xdr:cNvPr id="8203" name="Check Box 11" hidden="1">
              <a:extLst>
                <a:ext uri="{63B3BB69-23CF-44E3-9099-C40C66FF867C}">
                  <a14:compatExt spid="_x0000_s8203"/>
                </a:ext>
                <a:ext uri="{FF2B5EF4-FFF2-40B4-BE49-F238E27FC236}">
                  <a16:creationId xmlns:a16="http://schemas.microsoft.com/office/drawing/2014/main" id="{00000000-0008-0000-0700-00000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390525</xdr:colOff>
          <xdr:row>16</xdr:row>
          <xdr:rowOff>152400</xdr:rowOff>
        </xdr:from>
        <xdr:to>
          <xdr:col>2</xdr:col>
          <xdr:colOff>895350</xdr:colOff>
          <xdr:row>16</xdr:row>
          <xdr:rowOff>457200</xdr:rowOff>
        </xdr:to>
        <xdr:sp macro="" textlink="">
          <xdr:nvSpPr>
            <xdr:cNvPr id="8204" name="Check Box 12" hidden="1">
              <a:extLst>
                <a:ext uri="{63B3BB69-23CF-44E3-9099-C40C66FF867C}">
                  <a14:compatExt spid="_x0000_s8204"/>
                </a:ext>
                <a:ext uri="{FF2B5EF4-FFF2-40B4-BE49-F238E27FC236}">
                  <a16:creationId xmlns:a16="http://schemas.microsoft.com/office/drawing/2014/main" id="{00000000-0008-0000-0700-00000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390525</xdr:colOff>
          <xdr:row>17</xdr:row>
          <xdr:rowOff>47625</xdr:rowOff>
        </xdr:from>
        <xdr:to>
          <xdr:col>2</xdr:col>
          <xdr:colOff>895350</xdr:colOff>
          <xdr:row>17</xdr:row>
          <xdr:rowOff>352425</xdr:rowOff>
        </xdr:to>
        <xdr:sp macro="" textlink="">
          <xdr:nvSpPr>
            <xdr:cNvPr id="8205" name="Check Box 13" hidden="1">
              <a:extLst>
                <a:ext uri="{63B3BB69-23CF-44E3-9099-C40C66FF867C}">
                  <a14:compatExt spid="_x0000_s8205"/>
                </a:ext>
                <a:ext uri="{FF2B5EF4-FFF2-40B4-BE49-F238E27FC236}">
                  <a16:creationId xmlns:a16="http://schemas.microsoft.com/office/drawing/2014/main" id="{00000000-0008-0000-0700-00000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390525</xdr:colOff>
          <xdr:row>18</xdr:row>
          <xdr:rowOff>133350</xdr:rowOff>
        </xdr:from>
        <xdr:to>
          <xdr:col>2</xdr:col>
          <xdr:colOff>895350</xdr:colOff>
          <xdr:row>18</xdr:row>
          <xdr:rowOff>438150</xdr:rowOff>
        </xdr:to>
        <xdr:sp macro="" textlink="">
          <xdr:nvSpPr>
            <xdr:cNvPr id="8206" name="Check Box 14" hidden="1">
              <a:extLst>
                <a:ext uri="{63B3BB69-23CF-44E3-9099-C40C66FF867C}">
                  <a14:compatExt spid="_x0000_s8206"/>
                </a:ext>
                <a:ext uri="{FF2B5EF4-FFF2-40B4-BE49-F238E27FC236}">
                  <a16:creationId xmlns:a16="http://schemas.microsoft.com/office/drawing/2014/main" id="{00000000-0008-0000-0700-00000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390525</xdr:colOff>
          <xdr:row>19</xdr:row>
          <xdr:rowOff>323850</xdr:rowOff>
        </xdr:from>
        <xdr:to>
          <xdr:col>2</xdr:col>
          <xdr:colOff>895350</xdr:colOff>
          <xdr:row>19</xdr:row>
          <xdr:rowOff>628650</xdr:rowOff>
        </xdr:to>
        <xdr:sp macro="" textlink="">
          <xdr:nvSpPr>
            <xdr:cNvPr id="8207" name="Check Box 15" hidden="1">
              <a:extLst>
                <a:ext uri="{63B3BB69-23CF-44E3-9099-C40C66FF867C}">
                  <a14:compatExt spid="_x0000_s8207"/>
                </a:ext>
                <a:ext uri="{FF2B5EF4-FFF2-40B4-BE49-F238E27FC236}">
                  <a16:creationId xmlns:a16="http://schemas.microsoft.com/office/drawing/2014/main" id="{00000000-0008-0000-0700-00000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390525</xdr:colOff>
          <xdr:row>20</xdr:row>
          <xdr:rowOff>333375</xdr:rowOff>
        </xdr:from>
        <xdr:to>
          <xdr:col>2</xdr:col>
          <xdr:colOff>895350</xdr:colOff>
          <xdr:row>20</xdr:row>
          <xdr:rowOff>638175</xdr:rowOff>
        </xdr:to>
        <xdr:sp macro="" textlink="">
          <xdr:nvSpPr>
            <xdr:cNvPr id="8208" name="Check Box 16" hidden="1">
              <a:extLst>
                <a:ext uri="{63B3BB69-23CF-44E3-9099-C40C66FF867C}">
                  <a14:compatExt spid="_x0000_s8208"/>
                </a:ext>
                <a:ext uri="{FF2B5EF4-FFF2-40B4-BE49-F238E27FC236}">
                  <a16:creationId xmlns:a16="http://schemas.microsoft.com/office/drawing/2014/main" id="{00000000-0008-0000-0700-00001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390525</xdr:colOff>
          <xdr:row>21</xdr:row>
          <xdr:rowOff>142875</xdr:rowOff>
        </xdr:from>
        <xdr:to>
          <xdr:col>2</xdr:col>
          <xdr:colOff>895350</xdr:colOff>
          <xdr:row>21</xdr:row>
          <xdr:rowOff>447675</xdr:rowOff>
        </xdr:to>
        <xdr:sp macro="" textlink="">
          <xdr:nvSpPr>
            <xdr:cNvPr id="8209" name="Check Box 17" hidden="1">
              <a:extLst>
                <a:ext uri="{63B3BB69-23CF-44E3-9099-C40C66FF867C}">
                  <a14:compatExt spid="_x0000_s8209"/>
                </a:ext>
                <a:ext uri="{FF2B5EF4-FFF2-40B4-BE49-F238E27FC236}">
                  <a16:creationId xmlns:a16="http://schemas.microsoft.com/office/drawing/2014/main" id="{00000000-0008-0000-0700-00001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390525</xdr:colOff>
          <xdr:row>22</xdr:row>
          <xdr:rowOff>800100</xdr:rowOff>
        </xdr:from>
        <xdr:to>
          <xdr:col>2</xdr:col>
          <xdr:colOff>895350</xdr:colOff>
          <xdr:row>22</xdr:row>
          <xdr:rowOff>1104900</xdr:rowOff>
        </xdr:to>
        <xdr:sp macro="" textlink="">
          <xdr:nvSpPr>
            <xdr:cNvPr id="8210" name="Check Box 18" hidden="1">
              <a:extLst>
                <a:ext uri="{63B3BB69-23CF-44E3-9099-C40C66FF867C}">
                  <a14:compatExt spid="_x0000_s8210"/>
                </a:ext>
                <a:ext uri="{FF2B5EF4-FFF2-40B4-BE49-F238E27FC236}">
                  <a16:creationId xmlns:a16="http://schemas.microsoft.com/office/drawing/2014/main" id="{00000000-0008-0000-0700-00001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1285875</xdr:colOff>
          <xdr:row>2</xdr:row>
          <xdr:rowOff>85725</xdr:rowOff>
        </xdr:from>
        <xdr:to>
          <xdr:col>1</xdr:col>
          <xdr:colOff>2295525</xdr:colOff>
          <xdr:row>4</xdr:row>
          <xdr:rowOff>104775</xdr:rowOff>
        </xdr:to>
        <xdr:sp macro="" textlink="">
          <xdr:nvSpPr>
            <xdr:cNvPr id="8215" name="Button 23" hidden="1">
              <a:extLst>
                <a:ext uri="{63B3BB69-23CF-44E3-9099-C40C66FF867C}">
                  <a14:compatExt spid="_x0000_s8215"/>
                </a:ext>
                <a:ext uri="{FF2B5EF4-FFF2-40B4-BE49-F238E27FC236}">
                  <a16:creationId xmlns:a16="http://schemas.microsoft.com/office/drawing/2014/main" id="{00000000-0008-0000-0700-000017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000" b="0" i="0" u="none" strike="noStrike" baseline="0">
                  <a:solidFill>
                    <a:srgbClr val="000000"/>
                  </a:solidFill>
                  <a:latin typeface="Montserrat"/>
                </a:rPr>
                <a:t>Continuar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57150</xdr:colOff>
          <xdr:row>2</xdr:row>
          <xdr:rowOff>85725</xdr:rowOff>
        </xdr:from>
        <xdr:to>
          <xdr:col>1</xdr:col>
          <xdr:colOff>1066800</xdr:colOff>
          <xdr:row>4</xdr:row>
          <xdr:rowOff>104775</xdr:rowOff>
        </xdr:to>
        <xdr:sp macro="" textlink="">
          <xdr:nvSpPr>
            <xdr:cNvPr id="8217" name="Button 25" hidden="1">
              <a:extLst>
                <a:ext uri="{63B3BB69-23CF-44E3-9099-C40C66FF867C}">
                  <a14:compatExt spid="_x0000_s8217"/>
                </a:ext>
                <a:ext uri="{FF2B5EF4-FFF2-40B4-BE49-F238E27FC236}">
                  <a16:creationId xmlns:a16="http://schemas.microsoft.com/office/drawing/2014/main" id="{00000000-0008-0000-0700-000019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000" b="0" i="0" u="none" strike="noStrike" baseline="0">
                  <a:solidFill>
                    <a:srgbClr val="000000"/>
                  </a:solidFill>
                  <a:latin typeface="Montserrat"/>
                </a:rPr>
                <a:t>Regresar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2524125</xdr:colOff>
          <xdr:row>2</xdr:row>
          <xdr:rowOff>85725</xdr:rowOff>
        </xdr:from>
        <xdr:to>
          <xdr:col>1</xdr:col>
          <xdr:colOff>3524250</xdr:colOff>
          <xdr:row>4</xdr:row>
          <xdr:rowOff>104775</xdr:rowOff>
        </xdr:to>
        <xdr:sp macro="" textlink="">
          <xdr:nvSpPr>
            <xdr:cNvPr id="8218" name="Button 26" hidden="1">
              <a:extLst>
                <a:ext uri="{63B3BB69-23CF-44E3-9099-C40C66FF867C}">
                  <a14:compatExt spid="_x0000_s8218"/>
                </a:ext>
                <a:ext uri="{FF2B5EF4-FFF2-40B4-BE49-F238E27FC236}">
                  <a16:creationId xmlns:a16="http://schemas.microsoft.com/office/drawing/2014/main" id="{00000000-0008-0000-0700-00001A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000" b="0" i="0" u="none" strike="noStrike" baseline="0">
                  <a:solidFill>
                    <a:srgbClr val="000000"/>
                  </a:solidFill>
                  <a:latin typeface="Montserrat"/>
                </a:rPr>
                <a:t>Referencia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3752850</xdr:colOff>
          <xdr:row>2</xdr:row>
          <xdr:rowOff>85725</xdr:rowOff>
        </xdr:from>
        <xdr:to>
          <xdr:col>1</xdr:col>
          <xdr:colOff>4762500</xdr:colOff>
          <xdr:row>4</xdr:row>
          <xdr:rowOff>104775</xdr:rowOff>
        </xdr:to>
        <xdr:sp macro="" textlink="">
          <xdr:nvSpPr>
            <xdr:cNvPr id="8219" name="Button 27" hidden="1">
              <a:extLst>
                <a:ext uri="{63B3BB69-23CF-44E3-9099-C40C66FF867C}">
                  <a14:compatExt spid="_x0000_s8219"/>
                </a:ext>
                <a:ext uri="{FF2B5EF4-FFF2-40B4-BE49-F238E27FC236}">
                  <a16:creationId xmlns:a16="http://schemas.microsoft.com/office/drawing/2014/main" id="{00000000-0008-0000-0700-00001B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000" b="0" i="0" u="none" strike="noStrike" baseline="0">
                  <a:solidFill>
                    <a:srgbClr val="000000"/>
                  </a:solidFill>
                  <a:latin typeface="Montserrat"/>
                </a:rPr>
                <a:t>Limpiar Selección</a:t>
              </a:r>
            </a:p>
          </xdr:txBody>
        </xdr:sp>
        <xdr:clientData fPrintsWithSheet="0"/>
      </xdr:twoCellAnchor>
    </mc:Choice>
    <mc:Fallback/>
  </mc:AlternateContent>
  <xdr:twoCellAnchor editAs="oneCell">
    <xdr:from>
      <xdr:col>0</xdr:col>
      <xdr:colOff>0</xdr:colOff>
      <xdr:row>0</xdr:row>
      <xdr:rowOff>0</xdr:rowOff>
    </xdr:from>
    <xdr:to>
      <xdr:col>1</xdr:col>
      <xdr:colOff>209550</xdr:colOff>
      <xdr:row>3</xdr:row>
      <xdr:rowOff>59367</xdr:rowOff>
    </xdr:to>
    <xdr:pic>
      <xdr:nvPicPr>
        <xdr:cNvPr id="2" name="Imagen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809750" cy="1030917"/>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47625</xdr:colOff>
          <xdr:row>1</xdr:row>
          <xdr:rowOff>95250</xdr:rowOff>
        </xdr:from>
        <xdr:to>
          <xdr:col>6</xdr:col>
          <xdr:colOff>133350</xdr:colOff>
          <xdr:row>1</xdr:row>
          <xdr:rowOff>495300</xdr:rowOff>
        </xdr:to>
        <xdr:sp macro="" textlink="">
          <xdr:nvSpPr>
            <xdr:cNvPr id="45058" name="Button 2" hidden="1">
              <a:extLst>
                <a:ext uri="{63B3BB69-23CF-44E3-9099-C40C66FF867C}">
                  <a14:compatExt spid="_x0000_s45058"/>
                </a:ext>
                <a:ext uri="{FF2B5EF4-FFF2-40B4-BE49-F238E27FC236}">
                  <a16:creationId xmlns:a16="http://schemas.microsoft.com/office/drawing/2014/main" id="{00000000-0008-0000-0800-000002B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000" b="0" i="0" u="none" strike="noStrike" baseline="0">
                  <a:solidFill>
                    <a:srgbClr val="000000"/>
                  </a:solidFill>
                  <a:latin typeface="Montserrat"/>
                </a:rPr>
                <a:t>Regresar</a:t>
              </a:r>
            </a:p>
          </xdr:txBody>
        </xdr:sp>
        <xdr:clientData fPrintsWithSheet="0"/>
      </xdr:twoCellAnchor>
    </mc:Choice>
    <mc:Fallback/>
  </mc:AlternateContent>
  <xdr:twoCellAnchor editAs="oneCell">
    <xdr:from>
      <xdr:col>0</xdr:col>
      <xdr:colOff>28575</xdr:colOff>
      <xdr:row>0</xdr:row>
      <xdr:rowOff>0</xdr:rowOff>
    </xdr:from>
    <xdr:to>
      <xdr:col>2</xdr:col>
      <xdr:colOff>188843</xdr:colOff>
      <xdr:row>2</xdr:row>
      <xdr:rowOff>247382</xdr:rowOff>
    </xdr:to>
    <xdr:pic>
      <xdr:nvPicPr>
        <xdr:cNvPr id="5" name="Imagen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8575" y="0"/>
          <a:ext cx="1808093" cy="1028432"/>
        </a:xfrm>
        <a:prstGeom prst="rect">
          <a:avLst/>
        </a:prstGeom>
      </xdr:spPr>
    </xdr:pic>
    <xdr:clientData/>
  </xdr:twoCellAnchor>
  <mc:AlternateContent xmlns:mc="http://schemas.openxmlformats.org/markup-compatibility/2006">
    <mc:Choice xmlns:a14="http://schemas.microsoft.com/office/drawing/2010/main" Requires="a14">
      <xdr:twoCellAnchor>
        <xdr:from>
          <xdr:col>6</xdr:col>
          <xdr:colOff>390525</xdr:colOff>
          <xdr:row>1</xdr:row>
          <xdr:rowOff>95250</xdr:rowOff>
        </xdr:from>
        <xdr:to>
          <xdr:col>7</xdr:col>
          <xdr:colOff>476250</xdr:colOff>
          <xdr:row>1</xdr:row>
          <xdr:rowOff>495300</xdr:rowOff>
        </xdr:to>
        <xdr:sp macro="" textlink="">
          <xdr:nvSpPr>
            <xdr:cNvPr id="45061" name="Button 5" hidden="1">
              <a:extLst>
                <a:ext uri="{63B3BB69-23CF-44E3-9099-C40C66FF867C}">
                  <a14:compatExt spid="_x0000_s45061"/>
                </a:ext>
                <a:ext uri="{FF2B5EF4-FFF2-40B4-BE49-F238E27FC236}">
                  <a16:creationId xmlns:a16="http://schemas.microsoft.com/office/drawing/2014/main" id="{00000000-0008-0000-0800-000005B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000" b="0" i="0" u="none" strike="noStrike" baseline="0">
                  <a:solidFill>
                    <a:srgbClr val="000000"/>
                  </a:solidFill>
                  <a:latin typeface="Montserrat"/>
                </a:rPr>
                <a:t>Continuar</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847725</xdr:colOff>
          <xdr:row>1</xdr:row>
          <xdr:rowOff>85725</xdr:rowOff>
        </xdr:from>
        <xdr:to>
          <xdr:col>9</xdr:col>
          <xdr:colOff>9525</xdr:colOff>
          <xdr:row>1</xdr:row>
          <xdr:rowOff>485775</xdr:rowOff>
        </xdr:to>
        <xdr:sp macro="" textlink="">
          <xdr:nvSpPr>
            <xdr:cNvPr id="10243" name="Button 3" hidden="1">
              <a:extLst>
                <a:ext uri="{63B3BB69-23CF-44E3-9099-C40C66FF867C}">
                  <a14:compatExt spid="_x0000_s10243"/>
                </a:ext>
                <a:ext uri="{FF2B5EF4-FFF2-40B4-BE49-F238E27FC236}">
                  <a16:creationId xmlns:a16="http://schemas.microsoft.com/office/drawing/2014/main" id="{00000000-0008-0000-0900-000003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000" b="0" i="0" u="none" strike="noStrike" baseline="0">
                  <a:solidFill>
                    <a:srgbClr val="000000"/>
                  </a:solidFill>
                  <a:latin typeface="Montserrat"/>
                </a:rPr>
                <a:t>Continuar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447675</xdr:colOff>
          <xdr:row>1</xdr:row>
          <xdr:rowOff>85725</xdr:rowOff>
        </xdr:from>
        <xdr:to>
          <xdr:col>7</xdr:col>
          <xdr:colOff>533400</xdr:colOff>
          <xdr:row>1</xdr:row>
          <xdr:rowOff>485775</xdr:rowOff>
        </xdr:to>
        <xdr:sp macro="" textlink="">
          <xdr:nvSpPr>
            <xdr:cNvPr id="10249" name="Button 9" hidden="1">
              <a:extLst>
                <a:ext uri="{63B3BB69-23CF-44E3-9099-C40C66FF867C}">
                  <a14:compatExt spid="_x0000_s10249"/>
                </a:ext>
                <a:ext uri="{FF2B5EF4-FFF2-40B4-BE49-F238E27FC236}">
                  <a16:creationId xmlns:a16="http://schemas.microsoft.com/office/drawing/2014/main" id="{00000000-0008-0000-0900-000009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000" b="0" i="0" u="none" strike="noStrike" baseline="0">
                  <a:solidFill>
                    <a:srgbClr val="000000"/>
                  </a:solidFill>
                  <a:latin typeface="Montserrat"/>
                </a:rPr>
                <a:t>Regresar</a:t>
              </a:r>
            </a:p>
          </xdr:txBody>
        </xdr:sp>
        <xdr:clientData fPrintsWithSheet="0"/>
      </xdr:twoCellAnchor>
    </mc:Choice>
    <mc:Fallback/>
  </mc:AlternateContent>
  <xdr:twoCellAnchor editAs="oneCell">
    <xdr:from>
      <xdr:col>0</xdr:col>
      <xdr:colOff>0</xdr:colOff>
      <xdr:row>0</xdr:row>
      <xdr:rowOff>0</xdr:rowOff>
    </xdr:from>
    <xdr:to>
      <xdr:col>2</xdr:col>
      <xdr:colOff>160268</xdr:colOff>
      <xdr:row>2</xdr:row>
      <xdr:rowOff>247382</xdr:rowOff>
    </xdr:to>
    <xdr:pic>
      <xdr:nvPicPr>
        <xdr:cNvPr id="2" name="Imagen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808093" cy="1028432"/>
        </a:xfrm>
        <a:prstGeom prst="rect">
          <a:avLst/>
        </a:prstGeom>
      </xdr:spPr>
    </xdr:pic>
    <xdr:clientData/>
  </xdr:twoCellAnchor>
  <mc:AlternateContent xmlns:mc="http://schemas.openxmlformats.org/markup-compatibility/2006">
    <mc:Choice xmlns:a14="http://schemas.microsoft.com/office/drawing/2010/main" Requires="a14">
      <xdr:twoCellAnchor>
        <xdr:from>
          <xdr:col>9</xdr:col>
          <xdr:colOff>390525</xdr:colOff>
          <xdr:row>1</xdr:row>
          <xdr:rowOff>85725</xdr:rowOff>
        </xdr:from>
        <xdr:to>
          <xdr:col>9</xdr:col>
          <xdr:colOff>1400175</xdr:colOff>
          <xdr:row>1</xdr:row>
          <xdr:rowOff>485775</xdr:rowOff>
        </xdr:to>
        <xdr:sp macro="" textlink="">
          <xdr:nvSpPr>
            <xdr:cNvPr id="10254" name="Button 14" hidden="1">
              <a:extLst>
                <a:ext uri="{63B3BB69-23CF-44E3-9099-C40C66FF867C}">
                  <a14:compatExt spid="_x0000_s10254"/>
                </a:ext>
                <a:ext uri="{FF2B5EF4-FFF2-40B4-BE49-F238E27FC236}">
                  <a16:creationId xmlns:a16="http://schemas.microsoft.com/office/drawing/2014/main" id="{00000000-0008-0000-0900-00000E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000" b="0" i="0" u="none" strike="noStrike" baseline="0">
                  <a:solidFill>
                    <a:srgbClr val="000000"/>
                  </a:solidFill>
                  <a:latin typeface="Montserrat"/>
                </a:rPr>
                <a:t>Limpiar hoja</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0</xdr:row>
          <xdr:rowOff>0</xdr:rowOff>
        </xdr:from>
        <xdr:to>
          <xdr:col>0</xdr:col>
          <xdr:colOff>752475</xdr:colOff>
          <xdr:row>1</xdr:row>
          <xdr:rowOff>0</xdr:rowOff>
        </xdr:to>
        <xdr:sp macro="" textlink="">
          <xdr:nvSpPr>
            <xdr:cNvPr id="58369" name="Button 1" hidden="1">
              <a:extLst>
                <a:ext uri="{63B3BB69-23CF-44E3-9099-C40C66FF867C}">
                  <a14:compatExt spid="_x0000_s58369"/>
                </a:ext>
                <a:ext uri="{FF2B5EF4-FFF2-40B4-BE49-F238E27FC236}">
                  <a16:creationId xmlns:a16="http://schemas.microsoft.com/office/drawing/2014/main" id="{00000000-0008-0000-0A00-000001E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cs typeface="Calibri"/>
                </a:rPr>
                <a:t>Regresar</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161925</xdr:colOff>
          <xdr:row>1</xdr:row>
          <xdr:rowOff>104775</xdr:rowOff>
        </xdr:from>
        <xdr:to>
          <xdr:col>6</xdr:col>
          <xdr:colOff>295275</xdr:colOff>
          <xdr:row>1</xdr:row>
          <xdr:rowOff>466725</xdr:rowOff>
        </xdr:to>
        <xdr:sp macro="" textlink="">
          <xdr:nvSpPr>
            <xdr:cNvPr id="93188" name="Button 4" hidden="1">
              <a:extLst>
                <a:ext uri="{63B3BB69-23CF-44E3-9099-C40C66FF867C}">
                  <a14:compatExt spid="_x0000_s93188"/>
                </a:ext>
                <a:ext uri="{FF2B5EF4-FFF2-40B4-BE49-F238E27FC236}">
                  <a16:creationId xmlns:a16="http://schemas.microsoft.com/office/drawing/2014/main" id="{00000000-0008-0000-0B00-0000046C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000" b="0" i="0" u="none" strike="noStrike" baseline="0">
                  <a:solidFill>
                    <a:srgbClr val="000000"/>
                  </a:solidFill>
                  <a:latin typeface="Montserrat"/>
                </a:rPr>
                <a:t>Regresar</a:t>
              </a:r>
            </a:p>
          </xdr:txBody>
        </xdr:sp>
        <xdr:clientData fPrintsWithSheet="0"/>
      </xdr:twoCellAnchor>
    </mc:Choice>
    <mc:Fallback/>
  </mc:AlternateContent>
  <xdr:twoCellAnchor editAs="oneCell">
    <xdr:from>
      <xdr:col>0</xdr:col>
      <xdr:colOff>0</xdr:colOff>
      <xdr:row>0</xdr:row>
      <xdr:rowOff>0</xdr:rowOff>
    </xdr:from>
    <xdr:to>
      <xdr:col>2</xdr:col>
      <xdr:colOff>160268</xdr:colOff>
      <xdr:row>2</xdr:row>
      <xdr:rowOff>247382</xdr:rowOff>
    </xdr:to>
    <xdr:pic>
      <xdr:nvPicPr>
        <xdr:cNvPr id="2" name="Imagen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808093" cy="1028432"/>
        </a:xfrm>
        <a:prstGeom prst="rect">
          <a:avLst/>
        </a:prstGeom>
      </xdr:spPr>
    </xdr:pic>
    <xdr:clientData/>
  </xdr:twoCellAnchor>
  <mc:AlternateContent xmlns:mc="http://schemas.openxmlformats.org/markup-compatibility/2006">
    <mc:Choice xmlns:a14="http://schemas.microsoft.com/office/drawing/2010/main" Requires="a14">
      <xdr:twoCellAnchor>
        <xdr:from>
          <xdr:col>6</xdr:col>
          <xdr:colOff>495300</xdr:colOff>
          <xdr:row>1</xdr:row>
          <xdr:rowOff>95250</xdr:rowOff>
        </xdr:from>
        <xdr:to>
          <xdr:col>7</xdr:col>
          <xdr:colOff>628650</xdr:colOff>
          <xdr:row>1</xdr:row>
          <xdr:rowOff>457200</xdr:rowOff>
        </xdr:to>
        <xdr:sp macro="" textlink="">
          <xdr:nvSpPr>
            <xdr:cNvPr id="93189" name="Button 5" hidden="1">
              <a:extLst>
                <a:ext uri="{63B3BB69-23CF-44E3-9099-C40C66FF867C}">
                  <a14:compatExt spid="_x0000_s93189"/>
                </a:ext>
                <a:ext uri="{FF2B5EF4-FFF2-40B4-BE49-F238E27FC236}">
                  <a16:creationId xmlns:a16="http://schemas.microsoft.com/office/drawing/2014/main" id="{00000000-0008-0000-0B00-0000056C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000" b="0" i="0" u="none" strike="noStrike" baseline="0">
                  <a:solidFill>
                    <a:srgbClr val="000000"/>
                  </a:solidFill>
                  <a:latin typeface="Montserrat"/>
                </a:rPr>
                <a:t>Limpiar hoja</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104775</xdr:colOff>
          <xdr:row>1</xdr:row>
          <xdr:rowOff>76200</xdr:rowOff>
        </xdr:from>
        <xdr:to>
          <xdr:col>6</xdr:col>
          <xdr:colOff>190500</xdr:colOff>
          <xdr:row>1</xdr:row>
          <xdr:rowOff>476250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C00-000001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000" b="0" i="0" u="none" strike="noStrike" baseline="0">
                  <a:solidFill>
                    <a:srgbClr val="000000"/>
                  </a:solidFill>
                  <a:latin typeface="Montserrat"/>
                </a:rPr>
                <a:t>Limpiar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752475</xdr:colOff>
          <xdr:row>1</xdr:row>
          <xdr:rowOff>76200</xdr:rowOff>
        </xdr:from>
        <xdr:to>
          <xdr:col>9</xdr:col>
          <xdr:colOff>838200</xdr:colOff>
          <xdr:row>1</xdr:row>
          <xdr:rowOff>476250</xdr:rowOff>
        </xdr:to>
        <xdr:sp macro="" textlink="">
          <xdr:nvSpPr>
            <xdr:cNvPr id="13317" name="Button 5" hidden="1">
              <a:extLst>
                <a:ext uri="{63B3BB69-23CF-44E3-9099-C40C66FF867C}">
                  <a14:compatExt spid="_x0000_s13317"/>
                </a:ext>
                <a:ext uri="{FF2B5EF4-FFF2-40B4-BE49-F238E27FC236}">
                  <a16:creationId xmlns:a16="http://schemas.microsoft.com/office/drawing/2014/main" id="{00000000-0008-0000-0C00-000005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000" b="0" i="0" u="none" strike="noStrike" baseline="0">
                  <a:solidFill>
                    <a:srgbClr val="000000"/>
                  </a:solidFill>
                  <a:latin typeface="Montserrat"/>
                </a:rPr>
                <a:t>Continuar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323850</xdr:colOff>
          <xdr:row>1</xdr:row>
          <xdr:rowOff>76200</xdr:rowOff>
        </xdr:from>
        <xdr:to>
          <xdr:col>7</xdr:col>
          <xdr:colOff>409575</xdr:colOff>
          <xdr:row>1</xdr:row>
          <xdr:rowOff>476250</xdr:rowOff>
        </xdr:to>
        <xdr:sp macro="" textlink="">
          <xdr:nvSpPr>
            <xdr:cNvPr id="13318" name="Button 6" hidden="1">
              <a:extLst>
                <a:ext uri="{63B3BB69-23CF-44E3-9099-C40C66FF867C}">
                  <a14:compatExt spid="_x0000_s13318"/>
                </a:ext>
                <a:ext uri="{FF2B5EF4-FFF2-40B4-BE49-F238E27FC236}">
                  <a16:creationId xmlns:a16="http://schemas.microsoft.com/office/drawing/2014/main" id="{00000000-0008-0000-0C00-000006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000" b="0" i="0" u="none" strike="noStrike" baseline="0">
                  <a:solidFill>
                    <a:srgbClr val="000000"/>
                  </a:solidFill>
                  <a:latin typeface="Montserrat"/>
                </a:rPr>
                <a:t>Regresar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533400</xdr:colOff>
          <xdr:row>1</xdr:row>
          <xdr:rowOff>76200</xdr:rowOff>
        </xdr:from>
        <xdr:to>
          <xdr:col>8</xdr:col>
          <xdr:colOff>619125</xdr:colOff>
          <xdr:row>1</xdr:row>
          <xdr:rowOff>476250</xdr:rowOff>
        </xdr:to>
        <xdr:sp macro="" textlink="">
          <xdr:nvSpPr>
            <xdr:cNvPr id="13319" name="Button 7" hidden="1">
              <a:extLst>
                <a:ext uri="{63B3BB69-23CF-44E3-9099-C40C66FF867C}">
                  <a14:compatExt spid="_x0000_s13319"/>
                </a:ext>
                <a:ext uri="{FF2B5EF4-FFF2-40B4-BE49-F238E27FC236}">
                  <a16:creationId xmlns:a16="http://schemas.microsoft.com/office/drawing/2014/main" id="{00000000-0008-0000-0C00-000007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000" b="0" i="0" u="none" strike="noStrike" baseline="0">
                  <a:solidFill>
                    <a:srgbClr val="000000"/>
                  </a:solidFill>
                  <a:latin typeface="Montserrat"/>
                </a:rPr>
                <a:t>Referencia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971550</xdr:colOff>
          <xdr:row>1</xdr:row>
          <xdr:rowOff>76200</xdr:rowOff>
        </xdr:from>
        <xdr:to>
          <xdr:col>9</xdr:col>
          <xdr:colOff>2019300</xdr:colOff>
          <xdr:row>1</xdr:row>
          <xdr:rowOff>476250</xdr:rowOff>
        </xdr:to>
        <xdr:sp macro="" textlink="">
          <xdr:nvSpPr>
            <xdr:cNvPr id="13320" name="Button 8" hidden="1">
              <a:extLst>
                <a:ext uri="{63B3BB69-23CF-44E3-9099-C40C66FF867C}">
                  <a14:compatExt spid="_x0000_s13320"/>
                </a:ext>
                <a:ext uri="{FF2B5EF4-FFF2-40B4-BE49-F238E27FC236}">
                  <a16:creationId xmlns:a16="http://schemas.microsoft.com/office/drawing/2014/main" id="{00000000-0008-0000-0C00-000008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000" b="0" i="0" u="none" strike="noStrike" baseline="0">
                  <a:solidFill>
                    <a:srgbClr val="000000"/>
                  </a:solidFill>
                  <a:latin typeface="Montserrat"/>
                </a:rPr>
                <a:t>Subcontratado</a:t>
              </a:r>
            </a:p>
          </xdr:txBody>
        </xdr:sp>
        <xdr:clientData fPrintsWithSheet="0"/>
      </xdr:twoCellAnchor>
    </mc:Choice>
    <mc:Fallback/>
  </mc:AlternateContent>
  <xdr:twoCellAnchor editAs="oneCell">
    <xdr:from>
      <xdr:col>0</xdr:col>
      <xdr:colOff>0</xdr:colOff>
      <xdr:row>0</xdr:row>
      <xdr:rowOff>0</xdr:rowOff>
    </xdr:from>
    <xdr:to>
      <xdr:col>2</xdr:col>
      <xdr:colOff>160268</xdr:colOff>
      <xdr:row>2</xdr:row>
      <xdr:rowOff>247382</xdr:rowOff>
    </xdr:to>
    <xdr:pic>
      <xdr:nvPicPr>
        <xdr:cNvPr id="3" name="Imagen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808093" cy="1028432"/>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104775</xdr:colOff>
          <xdr:row>1</xdr:row>
          <xdr:rowOff>76200</xdr:rowOff>
        </xdr:from>
        <xdr:to>
          <xdr:col>6</xdr:col>
          <xdr:colOff>190500</xdr:colOff>
          <xdr:row>1</xdr:row>
          <xdr:rowOff>476250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D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cs typeface="Calibri"/>
                </a:rPr>
                <a:t>Inicio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323850</xdr:colOff>
          <xdr:row>1</xdr:row>
          <xdr:rowOff>76200</xdr:rowOff>
        </xdr:from>
        <xdr:to>
          <xdr:col>9</xdr:col>
          <xdr:colOff>409575</xdr:colOff>
          <xdr:row>1</xdr:row>
          <xdr:rowOff>476250</xdr:rowOff>
        </xdr:to>
        <xdr:sp macro="" textlink="">
          <xdr:nvSpPr>
            <xdr:cNvPr id="14343" name="Button 7" hidden="1">
              <a:extLst>
                <a:ext uri="{63B3BB69-23CF-44E3-9099-C40C66FF867C}">
                  <a14:compatExt spid="_x0000_s14343"/>
                </a:ext>
                <a:ext uri="{FF2B5EF4-FFF2-40B4-BE49-F238E27FC236}">
                  <a16:creationId xmlns:a16="http://schemas.microsoft.com/office/drawing/2014/main" id="{00000000-0008-0000-0D00-000007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cs typeface="Calibri"/>
                </a:rPr>
                <a:t>Aspectos Supervisión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323850</xdr:colOff>
          <xdr:row>1</xdr:row>
          <xdr:rowOff>76200</xdr:rowOff>
        </xdr:from>
        <xdr:to>
          <xdr:col>6</xdr:col>
          <xdr:colOff>1333500</xdr:colOff>
          <xdr:row>1</xdr:row>
          <xdr:rowOff>476250</xdr:rowOff>
        </xdr:to>
        <xdr:sp macro="" textlink="">
          <xdr:nvSpPr>
            <xdr:cNvPr id="14344" name="Button 8" hidden="1">
              <a:extLst>
                <a:ext uri="{63B3BB69-23CF-44E3-9099-C40C66FF867C}">
                  <a14:compatExt spid="_x0000_s14344"/>
                </a:ext>
                <a:ext uri="{FF2B5EF4-FFF2-40B4-BE49-F238E27FC236}">
                  <a16:creationId xmlns:a16="http://schemas.microsoft.com/office/drawing/2014/main" id="{00000000-0008-0000-0D00-000008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cs typeface="Calibri"/>
                </a:rPr>
                <a:t>Regresar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xdr:row>
          <xdr:rowOff>76200</xdr:rowOff>
        </xdr:from>
        <xdr:to>
          <xdr:col>8</xdr:col>
          <xdr:colOff>190500</xdr:colOff>
          <xdr:row>1</xdr:row>
          <xdr:rowOff>476250</xdr:rowOff>
        </xdr:to>
        <xdr:sp macro="" textlink="">
          <xdr:nvSpPr>
            <xdr:cNvPr id="14345" name="Button 9" hidden="1">
              <a:extLst>
                <a:ext uri="{63B3BB69-23CF-44E3-9099-C40C66FF867C}">
                  <a14:compatExt spid="_x0000_s14345"/>
                </a:ext>
                <a:ext uri="{FF2B5EF4-FFF2-40B4-BE49-F238E27FC236}">
                  <a16:creationId xmlns:a16="http://schemas.microsoft.com/office/drawing/2014/main" id="{00000000-0008-0000-0D00-000009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cs typeface="Calibri"/>
                </a:rPr>
                <a:t>Referencia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542925</xdr:colOff>
          <xdr:row>1</xdr:row>
          <xdr:rowOff>76200</xdr:rowOff>
        </xdr:from>
        <xdr:to>
          <xdr:col>9</xdr:col>
          <xdr:colOff>1590675</xdr:colOff>
          <xdr:row>1</xdr:row>
          <xdr:rowOff>476250</xdr:rowOff>
        </xdr:to>
        <xdr:sp macro="" textlink="">
          <xdr:nvSpPr>
            <xdr:cNvPr id="14347" name="Button 11" hidden="1">
              <a:extLst>
                <a:ext uri="{63B3BB69-23CF-44E3-9099-C40C66FF867C}">
                  <a14:compatExt spid="_x0000_s14347"/>
                </a:ext>
                <a:ext uri="{FF2B5EF4-FFF2-40B4-BE49-F238E27FC236}">
                  <a16:creationId xmlns:a16="http://schemas.microsoft.com/office/drawing/2014/main" id="{00000000-0008-0000-0D00-00000B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000" b="0" i="0" u="none" strike="noStrike" baseline="0">
                  <a:solidFill>
                    <a:srgbClr val="000000"/>
                  </a:solidFill>
                  <a:latin typeface="Montserrat"/>
                </a:rPr>
                <a:t>Subcontratado</a:t>
              </a:r>
            </a:p>
          </xdr:txBody>
        </xdr:sp>
        <xdr:clientData fPrintsWithSheet="0"/>
      </xdr:twoCellAnchor>
    </mc:Choice>
    <mc:Fallback/>
  </mc:AlternateContent>
  <xdr:twoCellAnchor editAs="oneCell">
    <xdr:from>
      <xdr:col>0</xdr:col>
      <xdr:colOff>0</xdr:colOff>
      <xdr:row>0</xdr:row>
      <xdr:rowOff>0</xdr:rowOff>
    </xdr:from>
    <xdr:to>
      <xdr:col>2</xdr:col>
      <xdr:colOff>160268</xdr:colOff>
      <xdr:row>2</xdr:row>
      <xdr:rowOff>247382</xdr:rowOff>
    </xdr:to>
    <xdr:pic>
      <xdr:nvPicPr>
        <xdr:cNvPr id="3" name="Imagen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808093" cy="1028432"/>
        </a:xfrm>
        <a:prstGeom prst="rect">
          <a:avLst/>
        </a:prstGeom>
      </xdr:spPr>
    </xdr:pic>
    <xdr:clientData/>
  </xdr:twoCellAnchor>
  <mc:AlternateContent xmlns:mc="http://schemas.openxmlformats.org/markup-compatibility/2006">
    <mc:Choice xmlns:a14="http://schemas.microsoft.com/office/drawing/2010/main" Requires="a14">
      <xdr:twoCellAnchor>
        <xdr:from>
          <xdr:col>5</xdr:col>
          <xdr:colOff>161925</xdr:colOff>
          <xdr:row>1</xdr:row>
          <xdr:rowOff>76200</xdr:rowOff>
        </xdr:from>
        <xdr:to>
          <xdr:col>6</xdr:col>
          <xdr:colOff>247650</xdr:colOff>
          <xdr:row>1</xdr:row>
          <xdr:rowOff>476250</xdr:rowOff>
        </xdr:to>
        <xdr:sp macro="" textlink="">
          <xdr:nvSpPr>
            <xdr:cNvPr id="14353" name="Button 17" hidden="1">
              <a:extLst>
                <a:ext uri="{63B3BB69-23CF-44E3-9099-C40C66FF867C}">
                  <a14:compatExt spid="_x0000_s14353"/>
                </a:ext>
                <a:ext uri="{FF2B5EF4-FFF2-40B4-BE49-F238E27FC236}">
                  <a16:creationId xmlns:a16="http://schemas.microsoft.com/office/drawing/2014/main" id="{00000000-0008-0000-0D00-000011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000" b="0" i="0" u="none" strike="noStrike" baseline="0">
                  <a:solidFill>
                    <a:srgbClr val="000000"/>
                  </a:solidFill>
                  <a:latin typeface="Montserrat"/>
                </a:rPr>
                <a:t>Limpiar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381000</xdr:colOff>
          <xdr:row>1</xdr:row>
          <xdr:rowOff>76200</xdr:rowOff>
        </xdr:from>
        <xdr:to>
          <xdr:col>9</xdr:col>
          <xdr:colOff>466725</xdr:colOff>
          <xdr:row>1</xdr:row>
          <xdr:rowOff>476250</xdr:rowOff>
        </xdr:to>
        <xdr:sp macro="" textlink="">
          <xdr:nvSpPr>
            <xdr:cNvPr id="14354" name="Button 18" hidden="1">
              <a:extLst>
                <a:ext uri="{63B3BB69-23CF-44E3-9099-C40C66FF867C}">
                  <a14:compatExt spid="_x0000_s14354"/>
                </a:ext>
                <a:ext uri="{FF2B5EF4-FFF2-40B4-BE49-F238E27FC236}">
                  <a16:creationId xmlns:a16="http://schemas.microsoft.com/office/drawing/2014/main" id="{00000000-0008-0000-0D00-000012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000" b="0" i="0" u="none" strike="noStrike" baseline="0">
                  <a:solidFill>
                    <a:srgbClr val="000000"/>
                  </a:solidFill>
                  <a:latin typeface="Montserrat"/>
                </a:rPr>
                <a:t>Continuar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381000</xdr:colOff>
          <xdr:row>1</xdr:row>
          <xdr:rowOff>76200</xdr:rowOff>
        </xdr:from>
        <xdr:to>
          <xdr:col>7</xdr:col>
          <xdr:colOff>38100</xdr:colOff>
          <xdr:row>1</xdr:row>
          <xdr:rowOff>476250</xdr:rowOff>
        </xdr:to>
        <xdr:sp macro="" textlink="">
          <xdr:nvSpPr>
            <xdr:cNvPr id="14355" name="Button 19" hidden="1">
              <a:extLst>
                <a:ext uri="{63B3BB69-23CF-44E3-9099-C40C66FF867C}">
                  <a14:compatExt spid="_x0000_s14355"/>
                </a:ext>
                <a:ext uri="{FF2B5EF4-FFF2-40B4-BE49-F238E27FC236}">
                  <a16:creationId xmlns:a16="http://schemas.microsoft.com/office/drawing/2014/main" id="{00000000-0008-0000-0D00-000013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000" b="0" i="0" u="none" strike="noStrike" baseline="0">
                  <a:solidFill>
                    <a:srgbClr val="000000"/>
                  </a:solidFill>
                  <a:latin typeface="Montserrat"/>
                </a:rPr>
                <a:t>Regresar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161925</xdr:colOff>
          <xdr:row>1</xdr:row>
          <xdr:rowOff>76200</xdr:rowOff>
        </xdr:from>
        <xdr:to>
          <xdr:col>8</xdr:col>
          <xdr:colOff>247650</xdr:colOff>
          <xdr:row>1</xdr:row>
          <xdr:rowOff>476250</xdr:rowOff>
        </xdr:to>
        <xdr:sp macro="" textlink="">
          <xdr:nvSpPr>
            <xdr:cNvPr id="14356" name="Button 20" hidden="1">
              <a:extLst>
                <a:ext uri="{63B3BB69-23CF-44E3-9099-C40C66FF867C}">
                  <a14:compatExt spid="_x0000_s14356"/>
                </a:ext>
                <a:ext uri="{FF2B5EF4-FFF2-40B4-BE49-F238E27FC236}">
                  <a16:creationId xmlns:a16="http://schemas.microsoft.com/office/drawing/2014/main" id="{00000000-0008-0000-0D00-000014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000" b="0" i="0" u="none" strike="noStrike" baseline="0">
                  <a:solidFill>
                    <a:srgbClr val="000000"/>
                  </a:solidFill>
                  <a:latin typeface="Montserrat"/>
                </a:rPr>
                <a:t>Referencia</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200025</xdr:colOff>
          <xdr:row>31</xdr:row>
          <xdr:rowOff>9525</xdr:rowOff>
        </xdr:from>
        <xdr:to>
          <xdr:col>8</xdr:col>
          <xdr:colOff>190500</xdr:colOff>
          <xdr:row>32</xdr:row>
          <xdr:rowOff>38100</xdr:rowOff>
        </xdr:to>
        <xdr:sp macro="" textlink="">
          <xdr:nvSpPr>
            <xdr:cNvPr id="91137" name="Drop Down 1" hidden="1">
              <a:extLst>
                <a:ext uri="{63B3BB69-23CF-44E3-9099-C40C66FF867C}">
                  <a14:compatExt spid="_x0000_s91137"/>
                </a:ext>
                <a:ext uri="{FF2B5EF4-FFF2-40B4-BE49-F238E27FC236}">
                  <a16:creationId xmlns:a16="http://schemas.microsoft.com/office/drawing/2014/main" id="{00000000-0008-0000-0E00-0000016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2200275</xdr:colOff>
          <xdr:row>1</xdr:row>
          <xdr:rowOff>257175</xdr:rowOff>
        </xdr:from>
        <xdr:to>
          <xdr:col>3</xdr:col>
          <xdr:colOff>400050</xdr:colOff>
          <xdr:row>2</xdr:row>
          <xdr:rowOff>66675</xdr:rowOff>
        </xdr:to>
        <xdr:sp macro="" textlink="">
          <xdr:nvSpPr>
            <xdr:cNvPr id="91142" name="Button 6" hidden="1">
              <a:extLst>
                <a:ext uri="{63B3BB69-23CF-44E3-9099-C40C66FF867C}">
                  <a14:compatExt spid="_x0000_s91142"/>
                </a:ext>
                <a:ext uri="{FF2B5EF4-FFF2-40B4-BE49-F238E27FC236}">
                  <a16:creationId xmlns:a16="http://schemas.microsoft.com/office/drawing/2014/main" id="{00000000-0008-0000-0E00-0000066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000" b="0" i="0" u="none" strike="noStrike" baseline="0">
                  <a:solidFill>
                    <a:srgbClr val="000000"/>
                  </a:solidFill>
                  <a:latin typeface="Montserrat"/>
                </a:rPr>
                <a:t>Limpiar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723900</xdr:colOff>
          <xdr:row>1</xdr:row>
          <xdr:rowOff>257175</xdr:rowOff>
        </xdr:from>
        <xdr:to>
          <xdr:col>4</xdr:col>
          <xdr:colOff>809625</xdr:colOff>
          <xdr:row>2</xdr:row>
          <xdr:rowOff>66675</xdr:rowOff>
        </xdr:to>
        <xdr:sp macro="" textlink="">
          <xdr:nvSpPr>
            <xdr:cNvPr id="91143" name="Button 7" hidden="1">
              <a:extLst>
                <a:ext uri="{63B3BB69-23CF-44E3-9099-C40C66FF867C}">
                  <a14:compatExt spid="_x0000_s91143"/>
                </a:ext>
                <a:ext uri="{FF2B5EF4-FFF2-40B4-BE49-F238E27FC236}">
                  <a16:creationId xmlns:a16="http://schemas.microsoft.com/office/drawing/2014/main" id="{00000000-0008-0000-0E00-0000076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000" b="0" i="0" u="none" strike="noStrike" baseline="0">
                  <a:solidFill>
                    <a:srgbClr val="000000"/>
                  </a:solidFill>
                  <a:latin typeface="Montserrat"/>
                </a:rPr>
                <a:t>Regresar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209550</xdr:colOff>
          <xdr:row>1</xdr:row>
          <xdr:rowOff>257175</xdr:rowOff>
        </xdr:from>
        <xdr:to>
          <xdr:col>6</xdr:col>
          <xdr:colOff>295275</xdr:colOff>
          <xdr:row>2</xdr:row>
          <xdr:rowOff>66675</xdr:rowOff>
        </xdr:to>
        <xdr:sp macro="" textlink="">
          <xdr:nvSpPr>
            <xdr:cNvPr id="91144" name="Button 8" hidden="1">
              <a:extLst>
                <a:ext uri="{63B3BB69-23CF-44E3-9099-C40C66FF867C}">
                  <a14:compatExt spid="_x0000_s91144"/>
                </a:ext>
                <a:ext uri="{FF2B5EF4-FFF2-40B4-BE49-F238E27FC236}">
                  <a16:creationId xmlns:a16="http://schemas.microsoft.com/office/drawing/2014/main" id="{00000000-0008-0000-0E00-0000086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000" b="0" i="0" u="none" strike="noStrike" baseline="0">
                  <a:solidFill>
                    <a:srgbClr val="000000"/>
                  </a:solidFill>
                  <a:latin typeface="Montserrat"/>
                </a:rPr>
                <a:t>Evaluación</a:t>
              </a:r>
            </a:p>
          </xdr:txBody>
        </xdr:sp>
        <xdr:clientData fPrintsWithSheet="0"/>
      </xdr:twoCellAnchor>
    </mc:Choice>
    <mc:Fallback/>
  </mc:AlternateContent>
  <xdr:twoCellAnchor editAs="oneCell">
    <xdr:from>
      <xdr:col>0</xdr:col>
      <xdr:colOff>0</xdr:colOff>
      <xdr:row>0</xdr:row>
      <xdr:rowOff>0</xdr:rowOff>
    </xdr:from>
    <xdr:to>
      <xdr:col>2</xdr:col>
      <xdr:colOff>769868</xdr:colOff>
      <xdr:row>2</xdr:row>
      <xdr:rowOff>133082</xdr:rowOff>
    </xdr:to>
    <xdr:pic>
      <xdr:nvPicPr>
        <xdr:cNvPr id="2" name="Imagen 1">
          <a:extLst>
            <a:ext uri="{FF2B5EF4-FFF2-40B4-BE49-F238E27FC236}">
              <a16:creationId xmlns:a16="http://schemas.microsoft.com/office/drawing/2014/main" id="{00000000-0008-0000-0E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808093" cy="1028432"/>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1</xdr:row>
          <xdr:rowOff>85725</xdr:rowOff>
        </xdr:from>
        <xdr:to>
          <xdr:col>4</xdr:col>
          <xdr:colOff>1057275</xdr:colOff>
          <xdr:row>1</xdr:row>
          <xdr:rowOff>485775</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F00-000001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000" b="0" i="0" u="none" strike="noStrike" baseline="0">
                  <a:solidFill>
                    <a:srgbClr val="000000"/>
                  </a:solidFill>
                  <a:latin typeface="Montserrat"/>
                </a:rPr>
                <a:t>Limpiar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1314450</xdr:colOff>
          <xdr:row>1</xdr:row>
          <xdr:rowOff>85725</xdr:rowOff>
        </xdr:from>
        <xdr:to>
          <xdr:col>4</xdr:col>
          <xdr:colOff>2324100</xdr:colOff>
          <xdr:row>1</xdr:row>
          <xdr:rowOff>485775</xdr:rowOff>
        </xdr:to>
        <xdr:sp macro="" textlink="">
          <xdr:nvSpPr>
            <xdr:cNvPr id="30722" name="Button 2" hidden="1">
              <a:extLst>
                <a:ext uri="{63B3BB69-23CF-44E3-9099-C40C66FF867C}">
                  <a14:compatExt spid="_x0000_s30722"/>
                </a:ext>
                <a:ext uri="{FF2B5EF4-FFF2-40B4-BE49-F238E27FC236}">
                  <a16:creationId xmlns:a16="http://schemas.microsoft.com/office/drawing/2014/main" id="{00000000-0008-0000-0F00-000002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000" b="0" i="0" u="none" strike="noStrike" baseline="0">
                  <a:solidFill>
                    <a:srgbClr val="000000"/>
                  </a:solidFill>
                  <a:latin typeface="Montserrat"/>
                </a:rPr>
                <a:t>Regresar</a:t>
              </a:r>
            </a:p>
          </xdr:txBody>
        </xdr:sp>
        <xdr:clientData fPrintsWithSheet="0"/>
      </xdr:twoCellAnchor>
    </mc:Choice>
    <mc:Fallback/>
  </mc:AlternateContent>
  <xdr:twoCellAnchor editAs="oneCell">
    <xdr:from>
      <xdr:col>0</xdr:col>
      <xdr:colOff>0</xdr:colOff>
      <xdr:row>0</xdr:row>
      <xdr:rowOff>0</xdr:rowOff>
    </xdr:from>
    <xdr:to>
      <xdr:col>1</xdr:col>
      <xdr:colOff>188843</xdr:colOff>
      <xdr:row>2</xdr:row>
      <xdr:rowOff>247382</xdr:rowOff>
    </xdr:to>
    <xdr:pic>
      <xdr:nvPicPr>
        <xdr:cNvPr id="2" name="Imagen 1">
          <a:extLst>
            <a:ext uri="{FF2B5EF4-FFF2-40B4-BE49-F238E27FC236}">
              <a16:creationId xmlns:a16="http://schemas.microsoft.com/office/drawing/2014/main" id="{00000000-0008-0000-0F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808093" cy="1028432"/>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2581275</xdr:colOff>
          <xdr:row>1</xdr:row>
          <xdr:rowOff>85725</xdr:rowOff>
        </xdr:from>
        <xdr:to>
          <xdr:col>4</xdr:col>
          <xdr:colOff>3590925</xdr:colOff>
          <xdr:row>1</xdr:row>
          <xdr:rowOff>485775</xdr:rowOff>
        </xdr:to>
        <xdr:sp macro="" textlink="">
          <xdr:nvSpPr>
            <xdr:cNvPr id="30723" name="Button 3" hidden="1">
              <a:extLst>
                <a:ext uri="{63B3BB69-23CF-44E3-9099-C40C66FF867C}">
                  <a14:compatExt spid="_x0000_s30723"/>
                </a:ext>
                <a:ext uri="{FF2B5EF4-FFF2-40B4-BE49-F238E27FC236}">
                  <a16:creationId xmlns:a16="http://schemas.microsoft.com/office/drawing/2014/main" id="{00000000-0008-0000-0F00-000003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000" b="0" i="0" u="none" strike="noStrike" baseline="0">
                  <a:solidFill>
                    <a:srgbClr val="000000"/>
                  </a:solidFill>
                  <a:latin typeface="Montserrat"/>
                </a:rPr>
                <a:t>Guardar datos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1046093</xdr:colOff>
      <xdr:row>2</xdr:row>
      <xdr:rowOff>247382</xdr:rowOff>
    </xdr:to>
    <xdr:pic>
      <xdr:nvPicPr>
        <xdr:cNvPr id="2" name="Imagen 1">
          <a:extLst>
            <a:ext uri="{FF2B5EF4-FFF2-40B4-BE49-F238E27FC236}">
              <a16:creationId xmlns:a16="http://schemas.microsoft.com/office/drawing/2014/main" id="{00000000-0008-0000-1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808093" cy="1028432"/>
        </a:xfrm>
        <a:prstGeom prst="rect">
          <a:avLst/>
        </a:prstGeom>
      </xdr:spPr>
    </xdr:pic>
    <xdr:clientData/>
  </xdr:twoCellAnchor>
  <mc:AlternateContent xmlns:mc="http://schemas.openxmlformats.org/markup-compatibility/2006">
    <mc:Choice xmlns:a14="http://schemas.microsoft.com/office/drawing/2010/main" Requires="a14">
      <xdr:twoCellAnchor>
        <xdr:from>
          <xdr:col>6</xdr:col>
          <xdr:colOff>438150</xdr:colOff>
          <xdr:row>1</xdr:row>
          <xdr:rowOff>104775</xdr:rowOff>
        </xdr:from>
        <xdr:to>
          <xdr:col>7</xdr:col>
          <xdr:colOff>352425</xdr:colOff>
          <xdr:row>1</xdr:row>
          <xdr:rowOff>504825</xdr:rowOff>
        </xdr:to>
        <xdr:sp macro="" textlink="">
          <xdr:nvSpPr>
            <xdr:cNvPr id="110593" name="Button 1" hidden="1">
              <a:extLst>
                <a:ext uri="{63B3BB69-23CF-44E3-9099-C40C66FF867C}">
                  <a14:compatExt spid="_x0000_s110593"/>
                </a:ext>
                <a:ext uri="{FF2B5EF4-FFF2-40B4-BE49-F238E27FC236}">
                  <a16:creationId xmlns:a16="http://schemas.microsoft.com/office/drawing/2014/main" id="{00000000-0008-0000-1000-000001B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000" b="0" i="0" u="none" strike="noStrike" baseline="0">
                  <a:solidFill>
                    <a:srgbClr val="000000"/>
                  </a:solidFill>
                  <a:latin typeface="Montserrat"/>
                </a:rPr>
                <a:t>Regresar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666750</xdr:colOff>
          <xdr:row>1</xdr:row>
          <xdr:rowOff>104775</xdr:rowOff>
        </xdr:from>
        <xdr:to>
          <xdr:col>8</xdr:col>
          <xdr:colOff>476250</xdr:colOff>
          <xdr:row>1</xdr:row>
          <xdr:rowOff>504825</xdr:rowOff>
        </xdr:to>
        <xdr:sp macro="" textlink="">
          <xdr:nvSpPr>
            <xdr:cNvPr id="110595" name="Button 3" hidden="1">
              <a:extLst>
                <a:ext uri="{63B3BB69-23CF-44E3-9099-C40C66FF867C}">
                  <a14:compatExt spid="_x0000_s110595"/>
                </a:ext>
                <a:ext uri="{FF2B5EF4-FFF2-40B4-BE49-F238E27FC236}">
                  <a16:creationId xmlns:a16="http://schemas.microsoft.com/office/drawing/2014/main" id="{00000000-0008-0000-1000-000003B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000" b="0" i="0" u="none" strike="noStrike" baseline="0">
                  <a:solidFill>
                    <a:srgbClr val="000000"/>
                  </a:solidFill>
                  <a:latin typeface="Montserrat"/>
                </a:rPr>
                <a:t>Inicio y reiniciar</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190500</xdr:colOff>
          <xdr:row>1</xdr:row>
          <xdr:rowOff>180975</xdr:rowOff>
        </xdr:from>
        <xdr:to>
          <xdr:col>4</xdr:col>
          <xdr:colOff>1200150</xdr:colOff>
          <xdr:row>1</xdr:row>
          <xdr:rowOff>581025</xdr:rowOff>
        </xdr:to>
        <xdr:sp macro="" textlink="">
          <xdr:nvSpPr>
            <xdr:cNvPr id="102401" name="Button 1" hidden="1">
              <a:extLst>
                <a:ext uri="{63B3BB69-23CF-44E3-9099-C40C66FF867C}">
                  <a14:compatExt spid="_x0000_s102401"/>
                </a:ext>
                <a:ext uri="{FF2B5EF4-FFF2-40B4-BE49-F238E27FC236}">
                  <a16:creationId xmlns:a16="http://schemas.microsoft.com/office/drawing/2014/main" id="{00000000-0008-0000-1100-0000019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000" b="0" i="0" u="none" strike="noStrike" baseline="0">
                  <a:solidFill>
                    <a:srgbClr val="000000"/>
                  </a:solidFill>
                  <a:latin typeface="Montserrat"/>
                </a:rPr>
                <a:t>Limpiar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1495425</xdr:colOff>
          <xdr:row>1</xdr:row>
          <xdr:rowOff>180975</xdr:rowOff>
        </xdr:from>
        <xdr:to>
          <xdr:col>4</xdr:col>
          <xdr:colOff>2505075</xdr:colOff>
          <xdr:row>1</xdr:row>
          <xdr:rowOff>581025</xdr:rowOff>
        </xdr:to>
        <xdr:sp macro="" textlink="">
          <xdr:nvSpPr>
            <xdr:cNvPr id="102402" name="Button 2" hidden="1">
              <a:extLst>
                <a:ext uri="{63B3BB69-23CF-44E3-9099-C40C66FF867C}">
                  <a14:compatExt spid="_x0000_s102402"/>
                </a:ext>
                <a:ext uri="{FF2B5EF4-FFF2-40B4-BE49-F238E27FC236}">
                  <a16:creationId xmlns:a16="http://schemas.microsoft.com/office/drawing/2014/main" id="{00000000-0008-0000-1100-0000029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000" b="0" i="0" u="none" strike="noStrike" baseline="0">
                  <a:solidFill>
                    <a:srgbClr val="000000"/>
                  </a:solidFill>
                  <a:latin typeface="Montserrat"/>
                </a:rPr>
                <a:t>Regresar</a:t>
              </a:r>
            </a:p>
          </xdr:txBody>
        </xdr:sp>
        <xdr:clientData fPrintsWithSheet="0"/>
      </xdr:twoCellAnchor>
    </mc:Choice>
    <mc:Fallback/>
  </mc:AlternateContent>
  <xdr:twoCellAnchor editAs="oneCell">
    <xdr:from>
      <xdr:col>0</xdr:col>
      <xdr:colOff>0</xdr:colOff>
      <xdr:row>0</xdr:row>
      <xdr:rowOff>0</xdr:rowOff>
    </xdr:from>
    <xdr:to>
      <xdr:col>1</xdr:col>
      <xdr:colOff>188843</xdr:colOff>
      <xdr:row>2</xdr:row>
      <xdr:rowOff>247382</xdr:rowOff>
    </xdr:to>
    <xdr:pic>
      <xdr:nvPicPr>
        <xdr:cNvPr id="4" name="Imagen 3">
          <a:extLst>
            <a:ext uri="{FF2B5EF4-FFF2-40B4-BE49-F238E27FC236}">
              <a16:creationId xmlns:a16="http://schemas.microsoft.com/office/drawing/2014/main" id="{00000000-0008-0000-11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808093" cy="1028432"/>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2800350</xdr:colOff>
          <xdr:row>1</xdr:row>
          <xdr:rowOff>180975</xdr:rowOff>
        </xdr:from>
        <xdr:to>
          <xdr:col>5</xdr:col>
          <xdr:colOff>47625</xdr:colOff>
          <xdr:row>1</xdr:row>
          <xdr:rowOff>581025</xdr:rowOff>
        </xdr:to>
        <xdr:sp macro="" textlink="">
          <xdr:nvSpPr>
            <xdr:cNvPr id="102403" name="Button 3" hidden="1">
              <a:extLst>
                <a:ext uri="{63B3BB69-23CF-44E3-9099-C40C66FF867C}">
                  <a14:compatExt spid="_x0000_s102403"/>
                </a:ext>
                <a:ext uri="{FF2B5EF4-FFF2-40B4-BE49-F238E27FC236}">
                  <a16:creationId xmlns:a16="http://schemas.microsoft.com/office/drawing/2014/main" id="{00000000-0008-0000-1100-0000039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000" b="0" i="0" u="none" strike="noStrike" baseline="0">
                  <a:solidFill>
                    <a:srgbClr val="000000"/>
                  </a:solidFill>
                  <a:latin typeface="Montserrat"/>
                </a:rPr>
                <a:t>Guardar datos</a:t>
              </a:r>
            </a:p>
          </xdr:txBody>
        </xdr:sp>
        <xdr:clientData fPrintsWithSheet="0"/>
      </xdr:twoCellAnchor>
    </mc:Choice>
    <mc:Fallback/>
  </mc:AlternateContent>
  <xdr:twoCellAnchor editAs="oneCell">
    <xdr:from>
      <xdr:col>0</xdr:col>
      <xdr:colOff>0</xdr:colOff>
      <xdr:row>0</xdr:row>
      <xdr:rowOff>0</xdr:rowOff>
    </xdr:from>
    <xdr:to>
      <xdr:col>1</xdr:col>
      <xdr:colOff>188843</xdr:colOff>
      <xdr:row>2</xdr:row>
      <xdr:rowOff>247382</xdr:rowOff>
    </xdr:to>
    <xdr:pic>
      <xdr:nvPicPr>
        <xdr:cNvPr id="2" name="Imagen 1">
          <a:extLst>
            <a:ext uri="{FF2B5EF4-FFF2-40B4-BE49-F238E27FC236}">
              <a16:creationId xmlns:a16="http://schemas.microsoft.com/office/drawing/2014/main" id="{00000000-0008-0000-1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808093" cy="1028432"/>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190500</xdr:colOff>
          <xdr:row>1</xdr:row>
          <xdr:rowOff>180975</xdr:rowOff>
        </xdr:from>
        <xdr:to>
          <xdr:col>4</xdr:col>
          <xdr:colOff>1200150</xdr:colOff>
          <xdr:row>1</xdr:row>
          <xdr:rowOff>581025</xdr:rowOff>
        </xdr:to>
        <xdr:sp macro="" textlink="">
          <xdr:nvSpPr>
            <xdr:cNvPr id="107521" name="Button 1" hidden="1">
              <a:extLst>
                <a:ext uri="{63B3BB69-23CF-44E3-9099-C40C66FF867C}">
                  <a14:compatExt spid="_x0000_s107521"/>
                </a:ext>
                <a:ext uri="{FF2B5EF4-FFF2-40B4-BE49-F238E27FC236}">
                  <a16:creationId xmlns:a16="http://schemas.microsoft.com/office/drawing/2014/main" id="{00000000-0008-0000-1200-000001A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000" b="0" i="0" u="none" strike="noStrike" baseline="0">
                  <a:solidFill>
                    <a:srgbClr val="000000"/>
                  </a:solidFill>
                  <a:latin typeface="Montserrat"/>
                </a:rPr>
                <a:t>Limpiar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1466850</xdr:colOff>
          <xdr:row>1</xdr:row>
          <xdr:rowOff>180975</xdr:rowOff>
        </xdr:from>
        <xdr:to>
          <xdr:col>4</xdr:col>
          <xdr:colOff>2476500</xdr:colOff>
          <xdr:row>1</xdr:row>
          <xdr:rowOff>581025</xdr:rowOff>
        </xdr:to>
        <xdr:sp macro="" textlink="">
          <xdr:nvSpPr>
            <xdr:cNvPr id="107522" name="Button 2" hidden="1">
              <a:extLst>
                <a:ext uri="{63B3BB69-23CF-44E3-9099-C40C66FF867C}">
                  <a14:compatExt spid="_x0000_s107522"/>
                </a:ext>
                <a:ext uri="{FF2B5EF4-FFF2-40B4-BE49-F238E27FC236}">
                  <a16:creationId xmlns:a16="http://schemas.microsoft.com/office/drawing/2014/main" id="{00000000-0008-0000-1200-000002A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000" b="0" i="0" u="none" strike="noStrike" baseline="0">
                  <a:solidFill>
                    <a:srgbClr val="000000"/>
                  </a:solidFill>
                  <a:latin typeface="Montserrat"/>
                </a:rPr>
                <a:t>Regresar</a:t>
              </a:r>
            </a:p>
          </xdr:txBody>
        </xdr:sp>
        <xdr:clientData fPrintsWithSheet="0"/>
      </xdr:twoCellAnchor>
    </mc:Choice>
    <mc:Fallback/>
  </mc:AlternateContent>
  <xdr:twoCellAnchor editAs="oneCell">
    <xdr:from>
      <xdr:col>0</xdr:col>
      <xdr:colOff>0</xdr:colOff>
      <xdr:row>0</xdr:row>
      <xdr:rowOff>0</xdr:rowOff>
    </xdr:from>
    <xdr:to>
      <xdr:col>1</xdr:col>
      <xdr:colOff>198368</xdr:colOff>
      <xdr:row>2</xdr:row>
      <xdr:rowOff>247382</xdr:rowOff>
    </xdr:to>
    <xdr:pic>
      <xdr:nvPicPr>
        <xdr:cNvPr id="2" name="Imagen 1">
          <a:extLst>
            <a:ext uri="{FF2B5EF4-FFF2-40B4-BE49-F238E27FC236}">
              <a16:creationId xmlns:a16="http://schemas.microsoft.com/office/drawing/2014/main" id="{00000000-0008-0000-1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808093" cy="1028432"/>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2752725</xdr:colOff>
          <xdr:row>1</xdr:row>
          <xdr:rowOff>180975</xdr:rowOff>
        </xdr:from>
        <xdr:to>
          <xdr:col>5</xdr:col>
          <xdr:colOff>0</xdr:colOff>
          <xdr:row>1</xdr:row>
          <xdr:rowOff>581025</xdr:rowOff>
        </xdr:to>
        <xdr:sp macro="" textlink="">
          <xdr:nvSpPr>
            <xdr:cNvPr id="107523" name="Button 3" hidden="1">
              <a:extLst>
                <a:ext uri="{63B3BB69-23CF-44E3-9099-C40C66FF867C}">
                  <a14:compatExt spid="_x0000_s107523"/>
                </a:ext>
                <a:ext uri="{FF2B5EF4-FFF2-40B4-BE49-F238E27FC236}">
                  <a16:creationId xmlns:a16="http://schemas.microsoft.com/office/drawing/2014/main" id="{00000000-0008-0000-1200-000003A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000" b="0" i="0" u="none" strike="noStrike" baseline="0">
                  <a:solidFill>
                    <a:srgbClr val="000000"/>
                  </a:solidFill>
                  <a:latin typeface="Montserrat"/>
                </a:rPr>
                <a:t>Guardar datos</a:t>
              </a:r>
            </a:p>
          </xdr:txBody>
        </xdr:sp>
        <xdr:clientData fPrintsWithSheet="0"/>
      </xdr:twoCellAnchor>
    </mc:Choice>
    <mc:Fallback/>
  </mc:AlternateContent>
  <xdr:twoCellAnchor editAs="oneCell">
    <xdr:from>
      <xdr:col>0</xdr:col>
      <xdr:colOff>0</xdr:colOff>
      <xdr:row>0</xdr:row>
      <xdr:rowOff>0</xdr:rowOff>
    </xdr:from>
    <xdr:to>
      <xdr:col>1</xdr:col>
      <xdr:colOff>198368</xdr:colOff>
      <xdr:row>2</xdr:row>
      <xdr:rowOff>247382</xdr:rowOff>
    </xdr:to>
    <xdr:pic>
      <xdr:nvPicPr>
        <xdr:cNvPr id="3" name="Imagen 2">
          <a:extLst>
            <a:ext uri="{FF2B5EF4-FFF2-40B4-BE49-F238E27FC236}">
              <a16:creationId xmlns:a16="http://schemas.microsoft.com/office/drawing/2014/main" id="{00000000-0008-0000-12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808093" cy="1028432"/>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18" Type="http://schemas.openxmlformats.org/officeDocument/2006/relationships/ctrlProp" Target="../ctrlProps/ctrlProp13.xml"/><Relationship Id="rId3" Type="http://schemas.openxmlformats.org/officeDocument/2006/relationships/vmlDrawing" Target="../drawings/vmlDrawing1.vml"/><Relationship Id="rId21" Type="http://schemas.openxmlformats.org/officeDocument/2006/relationships/ctrlProp" Target="../ctrlProps/ctrlProp16.xml"/><Relationship Id="rId7" Type="http://schemas.openxmlformats.org/officeDocument/2006/relationships/ctrlProp" Target="../ctrlProps/ctrlProp2.xml"/><Relationship Id="rId12" Type="http://schemas.openxmlformats.org/officeDocument/2006/relationships/ctrlProp" Target="../ctrlProps/ctrlProp7.xml"/><Relationship Id="rId17" Type="http://schemas.openxmlformats.org/officeDocument/2006/relationships/ctrlProp" Target="../ctrlProps/ctrlProp12.xml"/><Relationship Id="rId2" Type="http://schemas.openxmlformats.org/officeDocument/2006/relationships/drawing" Target="../drawings/drawing1.xml"/><Relationship Id="rId16" Type="http://schemas.openxmlformats.org/officeDocument/2006/relationships/ctrlProp" Target="../ctrlProps/ctrlProp11.xml"/><Relationship Id="rId20" Type="http://schemas.openxmlformats.org/officeDocument/2006/relationships/ctrlProp" Target="../ctrlProps/ctrlProp15.xml"/><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image" Target="../media/image1.emf"/><Relationship Id="rId15" Type="http://schemas.openxmlformats.org/officeDocument/2006/relationships/ctrlProp" Target="../ctrlProps/ctrlProp10.xml"/><Relationship Id="rId23" Type="http://schemas.openxmlformats.org/officeDocument/2006/relationships/ctrlProp" Target="../ctrlProps/ctrlProp18.xml"/><Relationship Id="rId10" Type="http://schemas.openxmlformats.org/officeDocument/2006/relationships/ctrlProp" Target="../ctrlProps/ctrlProp5.xml"/><Relationship Id="rId19" Type="http://schemas.openxmlformats.org/officeDocument/2006/relationships/ctrlProp" Target="../ctrlProps/ctrlProp14.xml"/><Relationship Id="rId4" Type="http://schemas.openxmlformats.org/officeDocument/2006/relationships/control" Target="../activeX/activeX1.xml"/><Relationship Id="rId9" Type="http://schemas.openxmlformats.org/officeDocument/2006/relationships/ctrlProp" Target="../ctrlProps/ctrlProp4.xml"/><Relationship Id="rId14" Type="http://schemas.openxmlformats.org/officeDocument/2006/relationships/ctrlProp" Target="../ctrlProps/ctrlProp9.xml"/><Relationship Id="rId22" Type="http://schemas.openxmlformats.org/officeDocument/2006/relationships/ctrlProp" Target="../ctrlProps/ctrlProp17.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19.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23.xml"/><Relationship Id="rId3" Type="http://schemas.openxmlformats.org/officeDocument/2006/relationships/drawing" Target="../drawings/drawing3.xml"/><Relationship Id="rId7" Type="http://schemas.openxmlformats.org/officeDocument/2006/relationships/ctrlProp" Target="../ctrlProps/ctrlProp22.xml"/><Relationship Id="rId2" Type="http://schemas.openxmlformats.org/officeDocument/2006/relationships/printerSettings" Target="../printerSettings/printerSettings4.bin"/><Relationship Id="rId1" Type="http://schemas.openxmlformats.org/officeDocument/2006/relationships/hyperlink" Target="https://www.cnbv.gob.mx/Anexos/ANEXO%2052%20CUB.pdf" TargetMode="External"/><Relationship Id="rId6" Type="http://schemas.openxmlformats.org/officeDocument/2006/relationships/ctrlProp" Target="../ctrlProps/ctrlProp21.xml"/><Relationship Id="rId5" Type="http://schemas.openxmlformats.org/officeDocument/2006/relationships/ctrlProp" Target="../ctrlProps/ctrlProp20.xml"/><Relationship Id="rId10" Type="http://schemas.openxmlformats.org/officeDocument/2006/relationships/comments" Target="../comments1.xml"/><Relationship Id="rId4" Type="http://schemas.openxmlformats.org/officeDocument/2006/relationships/vmlDrawing" Target="../drawings/vmlDrawing3.vml"/><Relationship Id="rId9" Type="http://schemas.openxmlformats.org/officeDocument/2006/relationships/ctrlProp" Target="../ctrlProps/ctrlProp2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28.xml"/><Relationship Id="rId3" Type="http://schemas.openxmlformats.org/officeDocument/2006/relationships/drawing" Target="../drawings/drawing4.xml"/><Relationship Id="rId7" Type="http://schemas.openxmlformats.org/officeDocument/2006/relationships/ctrlProp" Target="../ctrlProps/ctrlProp27.xml"/><Relationship Id="rId2" Type="http://schemas.openxmlformats.org/officeDocument/2006/relationships/printerSettings" Target="../printerSettings/printerSettings5.bin"/><Relationship Id="rId1" Type="http://schemas.openxmlformats.org/officeDocument/2006/relationships/hyperlink" Target="https://www.cnbv.gob.mx/Anexos/ANEXO%2052%20CUB.pdf" TargetMode="External"/><Relationship Id="rId6" Type="http://schemas.openxmlformats.org/officeDocument/2006/relationships/ctrlProp" Target="../ctrlProps/ctrlProp26.xml"/><Relationship Id="rId5" Type="http://schemas.openxmlformats.org/officeDocument/2006/relationships/ctrlProp" Target="../ctrlProps/ctrlProp25.xml"/><Relationship Id="rId10" Type="http://schemas.openxmlformats.org/officeDocument/2006/relationships/comments" Target="../comments2.xml"/><Relationship Id="rId4" Type="http://schemas.openxmlformats.org/officeDocument/2006/relationships/vmlDrawing" Target="../drawings/vmlDrawing4.vml"/><Relationship Id="rId9" Type="http://schemas.openxmlformats.org/officeDocument/2006/relationships/ctrlProp" Target="../ctrlProps/ctrlProp29.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30.xml"/><Relationship Id="rId2" Type="http://schemas.openxmlformats.org/officeDocument/2006/relationships/vmlDrawing" Target="../drawings/vmlDrawing5.vml"/><Relationship Id="rId1" Type="http://schemas.openxmlformats.org/officeDocument/2006/relationships/drawing" Target="../drawings/drawing5.xml"/><Relationship Id="rId5" Type="http://schemas.openxmlformats.org/officeDocument/2006/relationships/ctrlProp" Target="../ctrlProps/ctrlProp32.xml"/><Relationship Id="rId4" Type="http://schemas.openxmlformats.org/officeDocument/2006/relationships/ctrlProp" Target="../ctrlProps/ctrlProp31.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37.xml"/><Relationship Id="rId13" Type="http://schemas.openxmlformats.org/officeDocument/2006/relationships/ctrlProp" Target="../ctrlProps/ctrlProp42.xml"/><Relationship Id="rId18" Type="http://schemas.openxmlformats.org/officeDocument/2006/relationships/ctrlProp" Target="../ctrlProps/ctrlProp47.xml"/><Relationship Id="rId3" Type="http://schemas.openxmlformats.org/officeDocument/2006/relationships/vmlDrawing" Target="../drawings/vmlDrawing6.vml"/><Relationship Id="rId21" Type="http://schemas.openxmlformats.org/officeDocument/2006/relationships/ctrlProp" Target="../ctrlProps/ctrlProp50.xml"/><Relationship Id="rId7" Type="http://schemas.openxmlformats.org/officeDocument/2006/relationships/ctrlProp" Target="../ctrlProps/ctrlProp36.xml"/><Relationship Id="rId12" Type="http://schemas.openxmlformats.org/officeDocument/2006/relationships/ctrlProp" Target="../ctrlProps/ctrlProp41.xml"/><Relationship Id="rId17" Type="http://schemas.openxmlformats.org/officeDocument/2006/relationships/ctrlProp" Target="../ctrlProps/ctrlProp46.xml"/><Relationship Id="rId2" Type="http://schemas.openxmlformats.org/officeDocument/2006/relationships/drawing" Target="../drawings/drawing6.xml"/><Relationship Id="rId16" Type="http://schemas.openxmlformats.org/officeDocument/2006/relationships/ctrlProp" Target="../ctrlProps/ctrlProp45.xml"/><Relationship Id="rId20" Type="http://schemas.openxmlformats.org/officeDocument/2006/relationships/ctrlProp" Target="../ctrlProps/ctrlProp49.xml"/><Relationship Id="rId1" Type="http://schemas.openxmlformats.org/officeDocument/2006/relationships/printerSettings" Target="../printerSettings/printerSettings6.bin"/><Relationship Id="rId6" Type="http://schemas.openxmlformats.org/officeDocument/2006/relationships/ctrlProp" Target="../ctrlProps/ctrlProp35.xml"/><Relationship Id="rId11" Type="http://schemas.openxmlformats.org/officeDocument/2006/relationships/ctrlProp" Target="../ctrlProps/ctrlProp40.xml"/><Relationship Id="rId24" Type="http://schemas.openxmlformats.org/officeDocument/2006/relationships/ctrlProp" Target="../ctrlProps/ctrlProp53.xml"/><Relationship Id="rId5" Type="http://schemas.openxmlformats.org/officeDocument/2006/relationships/ctrlProp" Target="../ctrlProps/ctrlProp34.xml"/><Relationship Id="rId15" Type="http://schemas.openxmlformats.org/officeDocument/2006/relationships/ctrlProp" Target="../ctrlProps/ctrlProp44.xml"/><Relationship Id="rId23" Type="http://schemas.openxmlformats.org/officeDocument/2006/relationships/ctrlProp" Target="../ctrlProps/ctrlProp52.xml"/><Relationship Id="rId10" Type="http://schemas.openxmlformats.org/officeDocument/2006/relationships/ctrlProp" Target="../ctrlProps/ctrlProp39.xml"/><Relationship Id="rId19" Type="http://schemas.openxmlformats.org/officeDocument/2006/relationships/ctrlProp" Target="../ctrlProps/ctrlProp48.xml"/><Relationship Id="rId4" Type="http://schemas.openxmlformats.org/officeDocument/2006/relationships/ctrlProp" Target="../ctrlProps/ctrlProp33.xml"/><Relationship Id="rId9" Type="http://schemas.openxmlformats.org/officeDocument/2006/relationships/ctrlProp" Target="../ctrlProps/ctrlProp38.xml"/><Relationship Id="rId14" Type="http://schemas.openxmlformats.org/officeDocument/2006/relationships/ctrlProp" Target="../ctrlProps/ctrlProp43.xml"/><Relationship Id="rId22" Type="http://schemas.openxmlformats.org/officeDocument/2006/relationships/ctrlProp" Target="../ctrlProps/ctrlProp51.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54.xml"/><Relationship Id="rId2" Type="http://schemas.openxmlformats.org/officeDocument/2006/relationships/vmlDrawing" Target="../drawings/vmlDrawing7.vml"/><Relationship Id="rId1" Type="http://schemas.openxmlformats.org/officeDocument/2006/relationships/drawing" Target="../drawings/drawing7.xml"/><Relationship Id="rId5" Type="http://schemas.openxmlformats.org/officeDocument/2006/relationships/comments" Target="../comments3.xml"/><Relationship Id="rId4" Type="http://schemas.openxmlformats.org/officeDocument/2006/relationships/ctrlProp" Target="../ctrlProps/ctrlProp55.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7.bin"/><Relationship Id="rId6" Type="http://schemas.openxmlformats.org/officeDocument/2006/relationships/ctrlProp" Target="../ctrlProps/ctrlProp58.xml"/><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59.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60.xml"/><Relationship Id="rId2" Type="http://schemas.openxmlformats.org/officeDocument/2006/relationships/vmlDrawing" Target="../drawings/vmlDrawing10.vml"/><Relationship Id="rId1" Type="http://schemas.openxmlformats.org/officeDocument/2006/relationships/drawing" Target="../drawings/drawing10.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66.xml"/><Relationship Id="rId3" Type="http://schemas.openxmlformats.org/officeDocument/2006/relationships/vmlDrawing" Target="../drawings/vmlDrawing11.vml"/><Relationship Id="rId7" Type="http://schemas.openxmlformats.org/officeDocument/2006/relationships/ctrlProp" Target="../ctrlProps/ctrlProp65.xml"/><Relationship Id="rId2" Type="http://schemas.openxmlformats.org/officeDocument/2006/relationships/drawing" Target="../drawings/drawing11.xml"/><Relationship Id="rId1" Type="http://schemas.openxmlformats.org/officeDocument/2006/relationships/hyperlink" Target="https://www.cnbv.gob.mx/Anexos/ANEXO%2052%20CUB.pdf" TargetMode="External"/><Relationship Id="rId6" Type="http://schemas.openxmlformats.org/officeDocument/2006/relationships/ctrlProp" Target="../ctrlProps/ctrlProp64.xml"/><Relationship Id="rId5" Type="http://schemas.openxmlformats.org/officeDocument/2006/relationships/ctrlProp" Target="../ctrlProps/ctrlProp63.xml"/><Relationship Id="rId4" Type="http://schemas.openxmlformats.org/officeDocument/2006/relationships/ctrlProp" Target="../ctrlProps/ctrlProp62.xml"/><Relationship Id="rId9" Type="http://schemas.openxmlformats.org/officeDocument/2006/relationships/comments" Target="../comments4.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71.xml"/><Relationship Id="rId13" Type="http://schemas.openxmlformats.org/officeDocument/2006/relationships/comments" Target="../comments5.xml"/><Relationship Id="rId3" Type="http://schemas.openxmlformats.org/officeDocument/2006/relationships/vmlDrawing" Target="../drawings/vmlDrawing12.vml"/><Relationship Id="rId7" Type="http://schemas.openxmlformats.org/officeDocument/2006/relationships/ctrlProp" Target="../ctrlProps/ctrlProp70.xml"/><Relationship Id="rId12" Type="http://schemas.openxmlformats.org/officeDocument/2006/relationships/ctrlProp" Target="../ctrlProps/ctrlProp75.xml"/><Relationship Id="rId2" Type="http://schemas.openxmlformats.org/officeDocument/2006/relationships/drawing" Target="../drawings/drawing12.xml"/><Relationship Id="rId1" Type="http://schemas.openxmlformats.org/officeDocument/2006/relationships/hyperlink" Target="https://www.cnbv.gob.mx/Anexos/ANEXO%2052%20CUB.pdf" TargetMode="External"/><Relationship Id="rId6" Type="http://schemas.openxmlformats.org/officeDocument/2006/relationships/ctrlProp" Target="../ctrlProps/ctrlProp69.xml"/><Relationship Id="rId11" Type="http://schemas.openxmlformats.org/officeDocument/2006/relationships/ctrlProp" Target="../ctrlProps/ctrlProp74.xml"/><Relationship Id="rId5" Type="http://schemas.openxmlformats.org/officeDocument/2006/relationships/ctrlProp" Target="../ctrlProps/ctrlProp68.xml"/><Relationship Id="rId10" Type="http://schemas.openxmlformats.org/officeDocument/2006/relationships/ctrlProp" Target="../ctrlProps/ctrlProp73.xml"/><Relationship Id="rId4" Type="http://schemas.openxmlformats.org/officeDocument/2006/relationships/ctrlProp" Target="../ctrlProps/ctrlProp67.xml"/><Relationship Id="rId9" Type="http://schemas.openxmlformats.org/officeDocument/2006/relationships/ctrlProp" Target="../ctrlProps/ctrlProp72.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76.xml"/><Relationship Id="rId2" Type="http://schemas.openxmlformats.org/officeDocument/2006/relationships/vmlDrawing" Target="../drawings/vmlDrawing13.vml"/><Relationship Id="rId1" Type="http://schemas.openxmlformats.org/officeDocument/2006/relationships/drawing" Target="../drawings/drawing13.xml"/><Relationship Id="rId6" Type="http://schemas.openxmlformats.org/officeDocument/2006/relationships/ctrlProp" Target="../ctrlProps/ctrlProp79.xml"/><Relationship Id="rId5" Type="http://schemas.openxmlformats.org/officeDocument/2006/relationships/ctrlProp" Target="../ctrlProps/ctrlProp78.xml"/><Relationship Id="rId4" Type="http://schemas.openxmlformats.org/officeDocument/2006/relationships/ctrlProp" Target="../ctrlProps/ctrlProp7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4.vml"/><Relationship Id="rId7" Type="http://schemas.openxmlformats.org/officeDocument/2006/relationships/comments" Target="../comments6.xml"/><Relationship Id="rId2" Type="http://schemas.openxmlformats.org/officeDocument/2006/relationships/drawing" Target="../drawings/drawing14.xml"/><Relationship Id="rId1" Type="http://schemas.openxmlformats.org/officeDocument/2006/relationships/printerSettings" Target="../printerSettings/printerSettings8.bin"/><Relationship Id="rId6" Type="http://schemas.openxmlformats.org/officeDocument/2006/relationships/ctrlProp" Target="../ctrlProps/ctrlProp82.xml"/><Relationship Id="rId5" Type="http://schemas.openxmlformats.org/officeDocument/2006/relationships/ctrlProp" Target="../ctrlProps/ctrlProp81.xml"/><Relationship Id="rId4" Type="http://schemas.openxmlformats.org/officeDocument/2006/relationships/ctrlProp" Target="../ctrlProps/ctrlProp80.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9.bin"/><Relationship Id="rId5" Type="http://schemas.openxmlformats.org/officeDocument/2006/relationships/ctrlProp" Target="../ctrlProps/ctrlProp84.xml"/><Relationship Id="rId4" Type="http://schemas.openxmlformats.org/officeDocument/2006/relationships/ctrlProp" Target="../ctrlProps/ctrlProp83.x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85.xml"/><Relationship Id="rId2" Type="http://schemas.openxmlformats.org/officeDocument/2006/relationships/vmlDrawing" Target="../drawings/vmlDrawing16.vml"/><Relationship Id="rId1" Type="http://schemas.openxmlformats.org/officeDocument/2006/relationships/drawing" Target="../drawings/drawing16.xml"/><Relationship Id="rId5" Type="http://schemas.openxmlformats.org/officeDocument/2006/relationships/ctrlProp" Target="../ctrlProps/ctrlProp87.xml"/><Relationship Id="rId4" Type="http://schemas.openxmlformats.org/officeDocument/2006/relationships/ctrlProp" Target="../ctrlProps/ctrlProp86.xml"/></Relationships>
</file>

<file path=xl/worksheets/_rels/sheet19.xml.rels><?xml version="1.0" encoding="UTF-8" standalone="yes"?>
<Relationships xmlns="http://schemas.openxmlformats.org/package/2006/relationships"><Relationship Id="rId3" Type="http://schemas.openxmlformats.org/officeDocument/2006/relationships/ctrlProp" Target="../ctrlProps/ctrlProp88.xml"/><Relationship Id="rId2" Type="http://schemas.openxmlformats.org/officeDocument/2006/relationships/vmlDrawing" Target="../drawings/vmlDrawing17.vml"/><Relationship Id="rId1" Type="http://schemas.openxmlformats.org/officeDocument/2006/relationships/drawing" Target="../drawings/drawing17.xml"/><Relationship Id="rId5" Type="http://schemas.openxmlformats.org/officeDocument/2006/relationships/ctrlProp" Target="../ctrlProps/ctrlProp90.xml"/><Relationship Id="rId4" Type="http://schemas.openxmlformats.org/officeDocument/2006/relationships/ctrlProp" Target="../ctrlProps/ctrlProp8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703187-8BDF-4D3B-B2AE-CC8524608FBF}">
  <sheetPr codeName="Hoja19"/>
  <dimension ref="A1:N48"/>
  <sheetViews>
    <sheetView topLeftCell="A40" zoomScale="160" zoomScaleNormal="160" workbookViewId="0"/>
  </sheetViews>
  <sheetFormatPr baseColWidth="10" defaultColWidth="11.42578125" defaultRowHeight="15" x14ac:dyDescent="0.3"/>
  <cols>
    <col min="1" max="1" width="11.42578125" style="21" customWidth="1"/>
    <col min="2" max="2" width="4.140625" style="21" customWidth="1"/>
    <col min="3" max="10" width="11.42578125" style="21"/>
    <col min="11" max="11" width="4.140625" style="21" customWidth="1"/>
    <col min="12" max="12" width="11.42578125" style="21"/>
    <col min="13" max="13" width="4.140625" style="21" customWidth="1"/>
    <col min="14" max="21" width="11.42578125" style="21"/>
    <col min="22" max="22" width="4.140625" style="21" customWidth="1"/>
    <col min="23" max="16384" width="11.42578125" style="21"/>
  </cols>
  <sheetData>
    <row r="1" spans="1:14" x14ac:dyDescent="0.3">
      <c r="A1" s="21" t="s">
        <v>449</v>
      </c>
    </row>
    <row r="2" spans="1:14" ht="15" customHeight="1" x14ac:dyDescent="0.3">
      <c r="D2" s="156" t="s">
        <v>1</v>
      </c>
      <c r="E2" s="156"/>
      <c r="F2" s="156"/>
      <c r="G2" s="156"/>
      <c r="H2" s="156"/>
      <c r="I2" s="156"/>
      <c r="J2" s="156"/>
      <c r="K2" s="156"/>
      <c r="L2" s="156"/>
      <c r="M2" s="156"/>
    </row>
    <row r="3" spans="1:14" x14ac:dyDescent="0.3">
      <c r="C3" s="105"/>
      <c r="D3" s="156"/>
      <c r="E3" s="156"/>
      <c r="F3" s="156"/>
      <c r="G3" s="156"/>
      <c r="H3" s="156"/>
      <c r="I3" s="156"/>
      <c r="J3" s="156"/>
      <c r="K3" s="156"/>
      <c r="L3" s="156"/>
      <c r="M3" s="156"/>
    </row>
    <row r="4" spans="1:14" x14ac:dyDescent="0.3">
      <c r="C4" s="105"/>
      <c r="D4" s="156"/>
      <c r="E4" s="156"/>
      <c r="F4" s="156"/>
      <c r="G4" s="156"/>
      <c r="H4" s="156"/>
      <c r="I4" s="156"/>
      <c r="J4" s="156"/>
      <c r="K4" s="156"/>
      <c r="L4" s="156"/>
      <c r="M4" s="156"/>
    </row>
    <row r="5" spans="1:14" ht="15.75" thickBot="1" x14ac:dyDescent="0.35"/>
    <row r="6" spans="1:14" ht="16.5" customHeight="1" thickTop="1" x14ac:dyDescent="0.3">
      <c r="B6" s="106"/>
      <c r="C6" s="157" t="s">
        <v>2</v>
      </c>
      <c r="D6" s="157"/>
      <c r="E6" s="157"/>
      <c r="F6" s="157"/>
      <c r="G6" s="157"/>
      <c r="H6" s="157"/>
      <c r="I6" s="157"/>
      <c r="J6" s="157"/>
      <c r="K6" s="107"/>
    </row>
    <row r="7" spans="1:14" x14ac:dyDescent="0.3">
      <c r="B7" s="108"/>
      <c r="C7" s="53" t="s">
        <v>3</v>
      </c>
      <c r="F7" s="53" t="s">
        <v>4</v>
      </c>
      <c r="I7" s="53" t="s">
        <v>5</v>
      </c>
      <c r="K7" s="109"/>
    </row>
    <row r="8" spans="1:14" x14ac:dyDescent="0.3">
      <c r="B8" s="108"/>
      <c r="K8" s="109"/>
    </row>
    <row r="9" spans="1:14" x14ac:dyDescent="0.3">
      <c r="B9" s="108"/>
      <c r="K9" s="109"/>
    </row>
    <row r="10" spans="1:14" x14ac:dyDescent="0.3">
      <c r="B10" s="108"/>
      <c r="K10" s="109"/>
    </row>
    <row r="11" spans="1:14" x14ac:dyDescent="0.3">
      <c r="B11" s="108"/>
      <c r="K11" s="109"/>
    </row>
    <row r="12" spans="1:14" x14ac:dyDescent="0.3">
      <c r="B12" s="108"/>
      <c r="C12" s="53" t="s">
        <v>6</v>
      </c>
      <c r="F12" s="53" t="s">
        <v>7</v>
      </c>
      <c r="K12" s="109"/>
    </row>
    <row r="13" spans="1:14" x14ac:dyDescent="0.3">
      <c r="B13" s="108"/>
      <c r="K13" s="109"/>
    </row>
    <row r="14" spans="1:14" x14ac:dyDescent="0.3">
      <c r="B14" s="108"/>
      <c r="K14" s="109"/>
    </row>
    <row r="15" spans="1:14" x14ac:dyDescent="0.3">
      <c r="B15" s="108"/>
      <c r="K15" s="109"/>
    </row>
    <row r="16" spans="1:14" ht="15.75" thickBot="1" x14ac:dyDescent="0.35">
      <c r="B16" s="110"/>
      <c r="C16" s="111"/>
      <c r="D16" s="111"/>
      <c r="E16" s="111"/>
      <c r="F16" s="111"/>
      <c r="G16" s="111"/>
      <c r="H16" s="111"/>
      <c r="I16" s="111"/>
      <c r="J16" s="111"/>
      <c r="K16" s="112"/>
      <c r="N16" s="21" t="s">
        <v>8</v>
      </c>
    </row>
    <row r="17" spans="2:14" ht="16.5" thickTop="1" thickBot="1" x14ac:dyDescent="0.35">
      <c r="N17" s="21" t="s">
        <v>9</v>
      </c>
    </row>
    <row r="18" spans="2:14" ht="16.5" customHeight="1" thickTop="1" x14ac:dyDescent="0.3">
      <c r="B18" s="106"/>
      <c r="C18" s="157" t="s">
        <v>10</v>
      </c>
      <c r="D18" s="157"/>
      <c r="E18" s="157"/>
      <c r="F18" s="157"/>
      <c r="G18" s="157"/>
      <c r="H18" s="157"/>
      <c r="I18" s="157"/>
      <c r="J18" s="157"/>
      <c r="K18" s="107"/>
    </row>
    <row r="19" spans="2:14" x14ac:dyDescent="0.3">
      <c r="B19" s="108"/>
      <c r="C19" s="21" t="s">
        <v>11</v>
      </c>
      <c r="H19" s="21" t="s">
        <v>12</v>
      </c>
      <c r="K19" s="109"/>
    </row>
    <row r="20" spans="2:14" x14ac:dyDescent="0.3">
      <c r="B20" s="108"/>
      <c r="K20" s="109"/>
    </row>
    <row r="21" spans="2:14" x14ac:dyDescent="0.3">
      <c r="B21" s="108"/>
      <c r="K21" s="109"/>
    </row>
    <row r="22" spans="2:14" x14ac:dyDescent="0.3">
      <c r="B22" s="108"/>
      <c r="K22" s="109"/>
    </row>
    <row r="23" spans="2:14" x14ac:dyDescent="0.3">
      <c r="B23" s="108"/>
      <c r="K23" s="109"/>
    </row>
    <row r="24" spans="2:14" x14ac:dyDescent="0.3">
      <c r="B24" s="108"/>
      <c r="C24" s="21" t="s">
        <v>13</v>
      </c>
      <c r="K24" s="109"/>
    </row>
    <row r="25" spans="2:14" x14ac:dyDescent="0.3">
      <c r="B25" s="108"/>
      <c r="K25" s="109"/>
    </row>
    <row r="26" spans="2:14" x14ac:dyDescent="0.3">
      <c r="B26" s="108"/>
      <c r="K26" s="109"/>
    </row>
    <row r="27" spans="2:14" x14ac:dyDescent="0.3">
      <c r="B27" s="108"/>
      <c r="K27" s="109"/>
    </row>
    <row r="28" spans="2:14" x14ac:dyDescent="0.3">
      <c r="B28" s="108"/>
      <c r="K28" s="109"/>
    </row>
    <row r="29" spans="2:14" x14ac:dyDescent="0.3">
      <c r="B29" s="108"/>
      <c r="C29" s="21" t="s">
        <v>14</v>
      </c>
      <c r="K29" s="109"/>
    </row>
    <row r="30" spans="2:14" x14ac:dyDescent="0.3">
      <c r="B30" s="108"/>
      <c r="K30" s="109"/>
    </row>
    <row r="31" spans="2:14" x14ac:dyDescent="0.3">
      <c r="B31" s="108"/>
      <c r="K31" s="109"/>
    </row>
    <row r="32" spans="2:14" x14ac:dyDescent="0.3">
      <c r="B32" s="108"/>
      <c r="K32" s="109"/>
    </row>
    <row r="33" spans="2:11" x14ac:dyDescent="0.3">
      <c r="B33" s="108"/>
      <c r="K33" s="109"/>
    </row>
    <row r="34" spans="2:11" x14ac:dyDescent="0.3">
      <c r="B34" s="108"/>
      <c r="C34" s="21" t="s">
        <v>15</v>
      </c>
      <c r="K34" s="109"/>
    </row>
    <row r="35" spans="2:11" x14ac:dyDescent="0.3">
      <c r="B35" s="108"/>
      <c r="K35" s="109"/>
    </row>
    <row r="36" spans="2:11" x14ac:dyDescent="0.3">
      <c r="B36" s="108"/>
      <c r="K36" s="109"/>
    </row>
    <row r="37" spans="2:11" x14ac:dyDescent="0.3">
      <c r="B37" s="108"/>
      <c r="K37" s="109"/>
    </row>
    <row r="38" spans="2:11" x14ac:dyDescent="0.3">
      <c r="B38" s="108"/>
      <c r="K38" s="109"/>
    </row>
    <row r="39" spans="2:11" ht="15.75" thickBot="1" x14ac:dyDescent="0.35">
      <c r="B39" s="110"/>
      <c r="C39" s="111"/>
      <c r="D39" s="111"/>
      <c r="E39" s="111"/>
      <c r="F39" s="111"/>
      <c r="G39" s="111"/>
      <c r="H39" s="111"/>
      <c r="I39" s="111"/>
      <c r="J39" s="111"/>
      <c r="K39" s="112"/>
    </row>
    <row r="40" spans="2:11" ht="15.75" thickTop="1" x14ac:dyDescent="0.3"/>
    <row r="42" spans="2:11" x14ac:dyDescent="0.3">
      <c r="B42" s="53" t="s">
        <v>16</v>
      </c>
    </row>
    <row r="48" spans="2:11" x14ac:dyDescent="0.3">
      <c r="C48" s="53"/>
    </row>
  </sheetData>
  <mergeCells count="3">
    <mergeCell ref="D2:M4"/>
    <mergeCell ref="C6:J6"/>
    <mergeCell ref="C18:J18"/>
  </mergeCells>
  <pageMargins left="0.7" right="0.7" top="0.75" bottom="0.75" header="0.3" footer="0.3"/>
  <pageSetup orientation="portrait" r:id="rId1"/>
  <drawing r:id="rId2"/>
  <legacyDrawing r:id="rId3"/>
  <controls>
    <mc:AlternateContent xmlns:mc="http://schemas.openxmlformats.org/markup-compatibility/2006">
      <mc:Choice Requires="x14">
        <control shapeId="70663" r:id="rId4" name="TextBox1">
          <controlPr defaultSize="0" autoLine="0" r:id="rId5">
            <anchor moveWithCells="1">
              <from>
                <xdr:col>2</xdr:col>
                <xdr:colOff>47625</xdr:colOff>
                <xdr:row>11</xdr:row>
                <xdr:rowOff>180975</xdr:rowOff>
              </from>
              <to>
                <xdr:col>4</xdr:col>
                <xdr:colOff>28575</xdr:colOff>
                <xdr:row>14</xdr:row>
                <xdr:rowOff>161925</xdr:rowOff>
              </to>
            </anchor>
          </controlPr>
        </control>
      </mc:Choice>
      <mc:Fallback>
        <control shapeId="70663" r:id="rId4" name="TextBox1"/>
      </mc:Fallback>
    </mc:AlternateContent>
    <mc:AlternateContent xmlns:mc="http://schemas.openxmlformats.org/markup-compatibility/2006">
      <mc:Choice Requires="x14">
        <control shapeId="70657" r:id="rId6" name="Drop Down 1">
          <controlPr defaultSize="0" autoLine="0" autoPict="0">
            <anchor moveWithCells="1">
              <from>
                <xdr:col>0</xdr:col>
                <xdr:colOff>762000</xdr:colOff>
                <xdr:row>43</xdr:row>
                <xdr:rowOff>0</xdr:rowOff>
              </from>
              <to>
                <xdr:col>7</xdr:col>
                <xdr:colOff>247650</xdr:colOff>
                <xdr:row>46</xdr:row>
                <xdr:rowOff>0</xdr:rowOff>
              </to>
            </anchor>
          </controlPr>
        </control>
      </mc:Choice>
    </mc:AlternateContent>
    <mc:AlternateContent xmlns:mc="http://schemas.openxmlformats.org/markup-compatibility/2006">
      <mc:Choice Requires="x14">
        <control shapeId="70658" r:id="rId7" name="Button 2">
          <controlPr defaultSize="0" print="0" autoFill="0" autoPict="0" macro="[0]!ContinuarInicio">
            <anchor moveWithCells="1" sizeWithCells="1">
              <from>
                <xdr:col>5</xdr:col>
                <xdr:colOff>171450</xdr:colOff>
                <xdr:row>47</xdr:row>
                <xdr:rowOff>76200</xdr:rowOff>
              </from>
              <to>
                <xdr:col>6</xdr:col>
                <xdr:colOff>485775</xdr:colOff>
                <xdr:row>51</xdr:row>
                <xdr:rowOff>38100</xdr:rowOff>
              </to>
            </anchor>
          </controlPr>
        </control>
      </mc:Choice>
    </mc:AlternateContent>
    <mc:AlternateContent xmlns:mc="http://schemas.openxmlformats.org/markup-compatibility/2006">
      <mc:Choice Requires="x14">
        <control shapeId="70659" r:id="rId8" name="Drop Down 3">
          <controlPr defaultSize="0" autoLine="0" autoPict="0">
            <anchor moveWithCells="1">
              <from>
                <xdr:col>2</xdr:col>
                <xdr:colOff>9525</xdr:colOff>
                <xdr:row>8</xdr:row>
                <xdr:rowOff>9525</xdr:rowOff>
              </from>
              <to>
                <xdr:col>4</xdr:col>
                <xdr:colOff>9525</xdr:colOff>
                <xdr:row>10</xdr:row>
                <xdr:rowOff>0</xdr:rowOff>
              </to>
            </anchor>
          </controlPr>
        </control>
      </mc:Choice>
    </mc:AlternateContent>
    <mc:AlternateContent xmlns:mc="http://schemas.openxmlformats.org/markup-compatibility/2006">
      <mc:Choice Requires="x14">
        <control shapeId="70660" r:id="rId9" name="Drop Down 4">
          <controlPr defaultSize="0" autoLine="0" autoPict="0" macro="[0]!ListaDias">
            <anchor moveWithCells="1">
              <from>
                <xdr:col>5</xdr:col>
                <xdr:colOff>0</xdr:colOff>
                <xdr:row>8</xdr:row>
                <xdr:rowOff>9525</xdr:rowOff>
              </from>
              <to>
                <xdr:col>7</xdr:col>
                <xdr:colOff>0</xdr:colOff>
                <xdr:row>10</xdr:row>
                <xdr:rowOff>0</xdr:rowOff>
              </to>
            </anchor>
          </controlPr>
        </control>
      </mc:Choice>
    </mc:AlternateContent>
    <mc:AlternateContent xmlns:mc="http://schemas.openxmlformats.org/markup-compatibility/2006">
      <mc:Choice Requires="x14">
        <control shapeId="70661" r:id="rId10" name="Drop Down 5">
          <controlPr defaultSize="0" autoLine="0" autoPict="0">
            <anchor moveWithCells="1">
              <from>
                <xdr:col>8</xdr:col>
                <xdr:colOff>0</xdr:colOff>
                <xdr:row>8</xdr:row>
                <xdr:rowOff>0</xdr:rowOff>
              </from>
              <to>
                <xdr:col>10</xdr:col>
                <xdr:colOff>0</xdr:colOff>
                <xdr:row>9</xdr:row>
                <xdr:rowOff>180975</xdr:rowOff>
              </to>
            </anchor>
          </controlPr>
        </control>
      </mc:Choice>
    </mc:AlternateContent>
    <mc:AlternateContent xmlns:mc="http://schemas.openxmlformats.org/markup-compatibility/2006">
      <mc:Choice Requires="x14">
        <control shapeId="70662" r:id="rId11" name="Button 6">
          <controlPr defaultSize="0" print="0" autoFill="0" autoPict="0" macro="[0]!AgregarInstitución">
            <anchor moveWithCells="1" sizeWithCells="1">
              <from>
                <xdr:col>8</xdr:col>
                <xdr:colOff>9525</xdr:colOff>
                <xdr:row>12</xdr:row>
                <xdr:rowOff>66675</xdr:rowOff>
              </from>
              <to>
                <xdr:col>9</xdr:col>
                <xdr:colOff>257175</xdr:colOff>
                <xdr:row>14</xdr:row>
                <xdr:rowOff>47625</xdr:rowOff>
              </to>
            </anchor>
          </controlPr>
        </control>
      </mc:Choice>
    </mc:AlternateContent>
    <mc:AlternateContent xmlns:mc="http://schemas.openxmlformats.org/markup-compatibility/2006">
      <mc:Choice Requires="x14">
        <control shapeId="70664" r:id="rId12" name="Drop Down 8">
          <controlPr defaultSize="0" autoLine="0" autoPict="0" macro="[0]!ListaInstitucion">
            <anchor moveWithCells="1">
              <from>
                <xdr:col>5</xdr:col>
                <xdr:colOff>9525</xdr:colOff>
                <xdr:row>12</xdr:row>
                <xdr:rowOff>9525</xdr:rowOff>
              </from>
              <to>
                <xdr:col>7</xdr:col>
                <xdr:colOff>0</xdr:colOff>
                <xdr:row>15</xdr:row>
                <xdr:rowOff>0</xdr:rowOff>
              </to>
            </anchor>
          </controlPr>
        </control>
      </mc:Choice>
    </mc:AlternateContent>
    <mc:AlternateContent xmlns:mc="http://schemas.openxmlformats.org/markup-compatibility/2006">
      <mc:Choice Requires="x14">
        <control shapeId="70665" r:id="rId13" name="Drop Down 9">
          <controlPr defaultSize="0" autoLine="0" autoPict="0" macro="[0]!SNySE">
            <anchor moveWithCells="1">
              <from>
                <xdr:col>2</xdr:col>
                <xdr:colOff>0</xdr:colOff>
                <xdr:row>19</xdr:row>
                <xdr:rowOff>95250</xdr:rowOff>
              </from>
              <to>
                <xdr:col>4</xdr:col>
                <xdr:colOff>752475</xdr:colOff>
                <xdr:row>22</xdr:row>
                <xdr:rowOff>85725</xdr:rowOff>
              </to>
            </anchor>
          </controlPr>
        </control>
      </mc:Choice>
    </mc:AlternateContent>
    <mc:AlternateContent xmlns:mc="http://schemas.openxmlformats.org/markup-compatibility/2006">
      <mc:Choice Requires="x14">
        <control shapeId="70666" r:id="rId14" name="Drop Down 10">
          <controlPr defaultSize="0" autoLine="0" autoPict="0">
            <anchor moveWithCells="1">
              <from>
                <xdr:col>7</xdr:col>
                <xdr:colOff>38100</xdr:colOff>
                <xdr:row>19</xdr:row>
                <xdr:rowOff>95250</xdr:rowOff>
              </from>
              <to>
                <xdr:col>10</xdr:col>
                <xdr:colOff>9525</xdr:colOff>
                <xdr:row>22</xdr:row>
                <xdr:rowOff>95250</xdr:rowOff>
              </to>
            </anchor>
          </controlPr>
        </control>
      </mc:Choice>
    </mc:AlternateContent>
    <mc:AlternateContent xmlns:mc="http://schemas.openxmlformats.org/markup-compatibility/2006">
      <mc:Choice Requires="x14">
        <control shapeId="70667" r:id="rId15" name="Drop Down 11">
          <controlPr defaultSize="0" autoLine="0" autoPict="0" macro="[0]!SNySE">
            <anchor moveWithCells="1">
              <from>
                <xdr:col>2</xdr:col>
                <xdr:colOff>0</xdr:colOff>
                <xdr:row>24</xdr:row>
                <xdr:rowOff>123825</xdr:rowOff>
              </from>
              <to>
                <xdr:col>4</xdr:col>
                <xdr:colOff>742950</xdr:colOff>
                <xdr:row>27</xdr:row>
                <xdr:rowOff>114300</xdr:rowOff>
              </to>
            </anchor>
          </controlPr>
        </control>
      </mc:Choice>
    </mc:AlternateContent>
    <mc:AlternateContent xmlns:mc="http://schemas.openxmlformats.org/markup-compatibility/2006">
      <mc:Choice Requires="x14">
        <control shapeId="70668" r:id="rId16" name="Drop Down 12">
          <controlPr defaultSize="0" autoLine="0" autoPict="0" macro="[0]!SNySE">
            <anchor moveWithCells="1">
              <from>
                <xdr:col>2</xdr:col>
                <xdr:colOff>0</xdr:colOff>
                <xdr:row>29</xdr:row>
                <xdr:rowOff>95250</xdr:rowOff>
              </from>
              <to>
                <xdr:col>5</xdr:col>
                <xdr:colOff>9525</xdr:colOff>
                <xdr:row>32</xdr:row>
                <xdr:rowOff>114300</xdr:rowOff>
              </to>
            </anchor>
          </controlPr>
        </control>
      </mc:Choice>
    </mc:AlternateContent>
    <mc:AlternateContent xmlns:mc="http://schemas.openxmlformats.org/markup-compatibility/2006">
      <mc:Choice Requires="x14">
        <control shapeId="70669" r:id="rId17" name="Button 13">
          <controlPr defaultSize="0" print="0" autoFill="0" autoPict="0" macro="[0]!AgregaPrestador">
            <anchor moveWithCells="1" sizeWithCells="1">
              <from>
                <xdr:col>5</xdr:col>
                <xdr:colOff>485775</xdr:colOff>
                <xdr:row>29</xdr:row>
                <xdr:rowOff>114300</xdr:rowOff>
              </from>
              <to>
                <xdr:col>7</xdr:col>
                <xdr:colOff>390525</xdr:colOff>
                <xdr:row>32</xdr:row>
                <xdr:rowOff>28575</xdr:rowOff>
              </to>
            </anchor>
          </controlPr>
        </control>
      </mc:Choice>
    </mc:AlternateContent>
    <mc:AlternateContent xmlns:mc="http://schemas.openxmlformats.org/markup-compatibility/2006">
      <mc:Choice Requires="x14">
        <control shapeId="70672" r:id="rId18" name="Drop Down 16">
          <controlPr defaultSize="0" autoLine="0" autoPict="0" macro="[0]!ListaServicio">
            <anchor moveWithCells="1">
              <from>
                <xdr:col>2</xdr:col>
                <xdr:colOff>0</xdr:colOff>
                <xdr:row>34</xdr:row>
                <xdr:rowOff>104775</xdr:rowOff>
              </from>
              <to>
                <xdr:col>10</xdr:col>
                <xdr:colOff>19050</xdr:colOff>
                <xdr:row>37</xdr:row>
                <xdr:rowOff>114300</xdr:rowOff>
              </to>
            </anchor>
          </controlPr>
        </control>
      </mc:Choice>
    </mc:AlternateContent>
    <mc:AlternateContent xmlns:mc="http://schemas.openxmlformats.org/markup-compatibility/2006">
      <mc:Choice Requires="x14">
        <control shapeId="70673" r:id="rId19" name="Button 17">
          <controlPr defaultSize="0" print="0" autoFill="0" autoPict="0" macro="[0]!AgregaServicio">
            <anchor moveWithCells="1" sizeWithCells="1">
              <from>
                <xdr:col>7</xdr:col>
                <xdr:colOff>723900</xdr:colOff>
                <xdr:row>29</xdr:row>
                <xdr:rowOff>114300</xdr:rowOff>
              </from>
              <to>
                <xdr:col>9</xdr:col>
                <xdr:colOff>628650</xdr:colOff>
                <xdr:row>32</xdr:row>
                <xdr:rowOff>28575</xdr:rowOff>
              </to>
            </anchor>
          </controlPr>
        </control>
      </mc:Choice>
    </mc:AlternateContent>
    <mc:AlternateContent xmlns:mc="http://schemas.openxmlformats.org/markup-compatibility/2006">
      <mc:Choice Requires="x14">
        <control shapeId="70675" r:id="rId20" name="Button 19">
          <controlPr defaultSize="0" print="0" autoFill="0" autoPict="0" macro="[0]!Instructivo">
            <anchor moveWithCells="1" sizeWithCells="1">
              <from>
                <xdr:col>12</xdr:col>
                <xdr:colOff>266700</xdr:colOff>
                <xdr:row>11</xdr:row>
                <xdr:rowOff>104775</xdr:rowOff>
              </from>
              <to>
                <xdr:col>14</xdr:col>
                <xdr:colOff>238125</xdr:colOff>
                <xdr:row>13</xdr:row>
                <xdr:rowOff>133350</xdr:rowOff>
              </to>
            </anchor>
          </controlPr>
        </control>
      </mc:Choice>
    </mc:AlternateContent>
    <mc:AlternateContent xmlns:mc="http://schemas.openxmlformats.org/markup-compatibility/2006">
      <mc:Choice Requires="x14">
        <control shapeId="70676" r:id="rId21" name="Button 20">
          <controlPr defaultSize="0" print="0" autoFill="0" autoPict="0" macro="[0]!_xludf.error">
            <anchor moveWithCells="1" sizeWithCells="1">
              <from>
                <xdr:col>12</xdr:col>
                <xdr:colOff>266700</xdr:colOff>
                <xdr:row>15</xdr:row>
                <xdr:rowOff>28575</xdr:rowOff>
              </from>
              <to>
                <xdr:col>14</xdr:col>
                <xdr:colOff>276225</xdr:colOff>
                <xdr:row>16</xdr:row>
                <xdr:rowOff>190500</xdr:rowOff>
              </to>
            </anchor>
          </controlPr>
        </control>
      </mc:Choice>
    </mc:AlternateContent>
    <mc:AlternateContent xmlns:mc="http://schemas.openxmlformats.org/markup-compatibility/2006">
      <mc:Choice Requires="x14">
        <control shapeId="70677" r:id="rId22" name="Button 21">
          <controlPr defaultSize="0" print="0" autoFill="0" autoPict="0" macro="[0]!ImportaPrestadores">
            <anchor moveWithCells="1" sizeWithCells="1">
              <from>
                <xdr:col>12</xdr:col>
                <xdr:colOff>266700</xdr:colOff>
                <xdr:row>7</xdr:row>
                <xdr:rowOff>180975</xdr:rowOff>
              </from>
              <to>
                <xdr:col>14</xdr:col>
                <xdr:colOff>238125</xdr:colOff>
                <xdr:row>10</xdr:row>
                <xdr:rowOff>19050</xdr:rowOff>
              </to>
            </anchor>
          </controlPr>
        </control>
      </mc:Choice>
    </mc:AlternateContent>
    <mc:AlternateContent xmlns:mc="http://schemas.openxmlformats.org/markup-compatibility/2006">
      <mc:Choice Requires="x14">
        <control shapeId="70678" r:id="rId23" name="Button 22">
          <controlPr defaultSize="0" print="0" autoFill="0" autoPict="0" macro="[0]!LimpiaCampos">
            <anchor moveWithCells="1" sizeWithCells="1">
              <from>
                <xdr:col>12</xdr:col>
                <xdr:colOff>266700</xdr:colOff>
                <xdr:row>4</xdr:row>
                <xdr:rowOff>95250</xdr:rowOff>
              </from>
              <to>
                <xdr:col>14</xdr:col>
                <xdr:colOff>238125</xdr:colOff>
                <xdr:row>6</xdr:row>
                <xdr:rowOff>95250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4EF98-72A4-4401-9E7E-2D0EA823AD19}">
  <sheetPr codeName="Hoja2"/>
  <dimension ref="A1:AN87"/>
  <sheetViews>
    <sheetView workbookViewId="0"/>
  </sheetViews>
  <sheetFormatPr baseColWidth="10" defaultColWidth="11.42578125" defaultRowHeight="15" x14ac:dyDescent="0.25"/>
  <cols>
    <col min="1" max="1" width="11.42578125" customWidth="1"/>
    <col min="12" max="12" width="11.85546875" bestFit="1" customWidth="1"/>
    <col min="17" max="17" width="12.5703125" bestFit="1" customWidth="1"/>
    <col min="18" max="18" width="20.140625" bestFit="1" customWidth="1"/>
    <col min="23" max="23" width="17.28515625" bestFit="1" customWidth="1"/>
    <col min="27" max="27" width="71.5703125" bestFit="1" customWidth="1"/>
    <col min="39" max="39" width="12.28515625" customWidth="1"/>
  </cols>
  <sheetData>
    <row r="1" spans="1:40" ht="60.75" thickBot="1" x14ac:dyDescent="0.3">
      <c r="A1" t="s">
        <v>17</v>
      </c>
      <c r="C1">
        <v>8</v>
      </c>
      <c r="E1" t="s">
        <v>18</v>
      </c>
      <c r="F1">
        <v>1</v>
      </c>
      <c r="H1" t="s">
        <v>19</v>
      </c>
      <c r="L1" t="b">
        <v>0</v>
      </c>
      <c r="M1">
        <f t="shared" ref="M1:M6" si="0">IF(L1,1,0)</f>
        <v>0</v>
      </c>
      <c r="O1" t="s">
        <v>6</v>
      </c>
      <c r="P1" t="s">
        <v>20</v>
      </c>
      <c r="Q1" t="s">
        <v>21</v>
      </c>
      <c r="R1" t="s">
        <v>22</v>
      </c>
      <c r="S1" t="s">
        <v>23</v>
      </c>
      <c r="T1" t="s">
        <v>24</v>
      </c>
      <c r="U1" t="s">
        <v>25</v>
      </c>
      <c r="W1" s="78" t="s">
        <v>26</v>
      </c>
      <c r="X1" s="79" t="s">
        <v>27</v>
      </c>
      <c r="Y1" s="79" t="s">
        <v>6</v>
      </c>
      <c r="Z1" s="79" t="s">
        <v>28</v>
      </c>
      <c r="AA1" s="79" t="s">
        <v>29</v>
      </c>
      <c r="AB1" s="79" t="s">
        <v>30</v>
      </c>
      <c r="AC1" s="79" t="s">
        <v>31</v>
      </c>
      <c r="AD1" s="79" t="s">
        <v>32</v>
      </c>
      <c r="AE1" s="79" t="s">
        <v>33</v>
      </c>
      <c r="AF1" s="79" t="s">
        <v>34</v>
      </c>
      <c r="AG1" s="79" t="s">
        <v>35</v>
      </c>
      <c r="AH1" s="79" t="s">
        <v>36</v>
      </c>
      <c r="AI1" s="79" t="s">
        <v>37</v>
      </c>
      <c r="AJ1" s="79" t="s">
        <v>38</v>
      </c>
      <c r="AK1" s="79" t="s">
        <v>39</v>
      </c>
      <c r="AL1" s="79" t="s">
        <v>40</v>
      </c>
      <c r="AM1" s="79" t="s">
        <v>41</v>
      </c>
      <c r="AN1" s="80" t="s">
        <v>42</v>
      </c>
    </row>
    <row r="2" spans="1:40" x14ac:dyDescent="0.25">
      <c r="E2" t="s">
        <v>43</v>
      </c>
      <c r="G2" s="13">
        <v>1</v>
      </c>
      <c r="H2" t="s">
        <v>44</v>
      </c>
      <c r="L2" t="b">
        <v>0</v>
      </c>
      <c r="M2">
        <f t="shared" si="0"/>
        <v>0</v>
      </c>
      <c r="O2" t="s">
        <v>486</v>
      </c>
      <c r="P2" t="str">
        <f>VLOOKUP(Prestadores!Q1,Prestadores!O2:P206,2,FALSE)</f>
        <v>Acceso y uso del sistema de eDealer- modulo Renta Fija, vía web con conexión segura a través de su intranet</v>
      </c>
      <c r="Q2">
        <v>4</v>
      </c>
      <c r="R2">
        <v>4</v>
      </c>
      <c r="T2">
        <v>1</v>
      </c>
      <c r="U2" t="s">
        <v>45</v>
      </c>
      <c r="W2" t="str">
        <f>_xlfn.CONCAT(D8,IF(C8=1,Prestadores!H1,Prestadores!D1),Prestadores!R1,Aux!O2)</f>
        <v>E00102553449-2023</v>
      </c>
      <c r="X2" t="str">
        <f>VLOOKUP(Prestadores!M1,Prestadores!J2:K170,2,FALSE)</f>
        <v>Banamex</v>
      </c>
      <c r="Y2" t="str">
        <f>O2</f>
        <v>53449-2023</v>
      </c>
      <c r="Z2" s="18" t="str">
        <f>F49</f>
        <v>23/6/2023</v>
      </c>
      <c r="AA2" t="str">
        <f>IF(Aux!C8=1,VLOOKUP(Prestadores!G1,Prestadores!E2:F42,2,FALSE),VLOOKUP(Prestadores!C1,Prestadores!A2:B43,2,FALSE))</f>
        <v>Citibank, N.A.</v>
      </c>
      <c r="AB2" t="str">
        <f>P2</f>
        <v>Acceso y uso del sistema de eDealer- modulo Renta Fija, vía web con conexión segura a través de su intranet</v>
      </c>
      <c r="AC2" t="str">
        <f>CHOOSE(C1,F5,F6,F7,F8,F9,F10,F11,F12,F13)</f>
        <v>Administración de bases de datos y Sistemas informáticos</v>
      </c>
      <c r="AD2" t="str">
        <f>CHOOSE(C8,A9,A10)</f>
        <v>Servicio Extranjero</v>
      </c>
      <c r="AE2" t="str">
        <f>IF(C8=1,CHOOSE(B12,A13,A14),CHOOSE(D12,C13,C14,C15))</f>
        <v>Filial</v>
      </c>
      <c r="AF2" t="str">
        <f>CHOOSE(F1,E2,E3)</f>
        <v>Sí</v>
      </c>
      <c r="AG2" t="str">
        <f>IF(C1=1,"No ",IF(C1=5,"No","Sí"))</f>
        <v>Sí</v>
      </c>
      <c r="AH2" t="str">
        <f>IF(OR(C1=1,C1=5),'Aspectos Admon-Ope'!G8,'Aspectos Supervisión'!H8)</f>
        <v>1. Grabación de llamadas y almacenamiento para el grupo de ejecutivos del piso financiero (Trading Floor).
Proporcionar el servicio de grabación de llamadas telefónicas para el grupo de ejecutivos del piso financiero (Trading Floor) así como el soporte y almacenamiento de estas grabaciones a largo tiempo.</v>
      </c>
      <c r="AI2" t="str">
        <f>IF(OR(C1=1,C1=5),'Aspectos Admon-Ope'!G9,'Aspectos Supervisión'!H9)</f>
        <v>Piso financiero (Trading Floor): lugar donde se encuentran los ejecutivos del piso financiero que atienden las llamadas de los clientes y donde se realizan las transacciones solicitadas.</v>
      </c>
      <c r="AJ2" t="str">
        <f>IF(OR(C1=1,C1=5),'Aspectos Admon-Ope'!G10,'Aspectos Supervisión'!H10)</f>
        <v>La documentación proporcionada no señala un producto en especifico en donde se aplicará el servicio, sin embargo, los informes de servicios y técnico,  señalan que el servicio que prestará el proveedor a los ejecutivos del piso financiero (Trading Floor) soportan los siguientes procesos: "La grabación y el almacenamiento final de llamadas es usada por el negocio como medio de respaldo de las instrucciones y aprobaciones realizadas por parte de los clientes externos de Citibanamex para realizar algún tipo de transacción monetaria."
Por lo anterior, se solicitará a Banamex que especifique a que producto o productos les aplicará el servicio.</v>
      </c>
      <c r="AK2" t="str">
        <f>IF(OR(C1=1,C1=5),'Aspectos Admon-Ope'!G11,'Aspectos Supervisión'!H11)</f>
        <v>Piso financiero (Trading Floor): lugar donde se encuentran los ejecutivos del piso financiero que atienden las llamadas de los clientes y donde se realizan las transacciones solicitadas.</v>
      </c>
      <c r="AL2" t="str">
        <f>IF(OR(C1=1,C1=5),'Aspectos Admon-Ope'!G12,'Aspectos Supervisión'!H12)</f>
        <v>El Informe de Servicios especifica la información general para la contratación de los servicios, asi como los procesos operativos o de administración de bases de datos y sistemas informáticos objeto de los servicios a contratar. Asimismo, el Informe Técnico especifica las caracteristicas técnicas del servicio a contratar.</v>
      </c>
      <c r="AM2" t="str">
        <f>IF(OR(C1=1,C1=5),'Aspectos Admon-Ope'!G13,'Aspectos Supervisión'!H13)</f>
        <v>La presentación que forma parte del Anexo E, la cual fue presentada al Cómite de Riesgos para su autorización, señala la posibilidad de contratar a un tercero que supla en caso de ser necesario el servicio proporcionado por Citibank N.A., tardaría al menos de 9 a 12 meses para contratar un nuevo proveedor externo para estos servicios.</v>
      </c>
      <c r="AN2" t="str" cm="1">
        <f t="array" ref="AN2">_xlfn.IFS(OR(C1=2,C1=3,C1=4,C1=6,C1=7,C1=8,C1=9),Evaluación!C23,C1=5,EvaluaciónSOFOM!C10,Aux!C1=1,IF(OR(Aux!M2=1,Aux!M3=1,Aux!M4=1),EvaluaciónExcep!C10,"N/A"))</f>
        <v>No cumple</v>
      </c>
    </row>
    <row r="3" spans="1:40" x14ac:dyDescent="0.25">
      <c r="E3" t="s">
        <v>46</v>
      </c>
      <c r="G3" s="13">
        <v>0</v>
      </c>
      <c r="H3" t="s">
        <v>47</v>
      </c>
      <c r="L3" t="b">
        <v>0</v>
      </c>
      <c r="M3">
        <f t="shared" si="0"/>
        <v>0</v>
      </c>
      <c r="T3">
        <v>2</v>
      </c>
      <c r="U3" t="s">
        <v>17</v>
      </c>
    </row>
    <row r="4" spans="1:40" x14ac:dyDescent="0.25">
      <c r="G4" s="13"/>
      <c r="L4" t="b">
        <v>0</v>
      </c>
      <c r="M4">
        <f t="shared" si="0"/>
        <v>0</v>
      </c>
      <c r="T4">
        <v>3</v>
      </c>
      <c r="U4" t="s">
        <v>48</v>
      </c>
    </row>
    <row r="5" spans="1:40" x14ac:dyDescent="0.25">
      <c r="F5" t="s">
        <v>17</v>
      </c>
      <c r="L5" t="b">
        <v>0</v>
      </c>
      <c r="M5">
        <f t="shared" si="0"/>
        <v>0</v>
      </c>
      <c r="T5">
        <v>4</v>
      </c>
      <c r="U5" t="s">
        <v>49</v>
      </c>
    </row>
    <row r="6" spans="1:40" x14ac:dyDescent="0.25">
      <c r="F6" t="s">
        <v>50</v>
      </c>
      <c r="L6" t="b">
        <v>0</v>
      </c>
      <c r="M6">
        <f t="shared" si="0"/>
        <v>0</v>
      </c>
      <c r="T6">
        <v>5</v>
      </c>
      <c r="U6" t="s">
        <v>51</v>
      </c>
    </row>
    <row r="7" spans="1:40" x14ac:dyDescent="0.25">
      <c r="F7" t="s">
        <v>52</v>
      </c>
      <c r="L7" t="b">
        <v>0</v>
      </c>
      <c r="M7">
        <f t="shared" ref="M7:M17" si="1">IF(L7,1,0)</f>
        <v>0</v>
      </c>
      <c r="T7">
        <v>6</v>
      </c>
      <c r="U7" t="s">
        <v>53</v>
      </c>
    </row>
    <row r="8" spans="1:40" x14ac:dyDescent="0.25">
      <c r="A8" t="s">
        <v>54</v>
      </c>
      <c r="C8">
        <v>1</v>
      </c>
      <c r="D8" t="str">
        <f>IF(C8=1,"E","N")</f>
        <v>E</v>
      </c>
      <c r="F8" t="s">
        <v>55</v>
      </c>
      <c r="L8" t="b">
        <v>0</v>
      </c>
      <c r="M8">
        <f t="shared" si="1"/>
        <v>0</v>
      </c>
      <c r="T8">
        <v>7</v>
      </c>
      <c r="U8" t="s">
        <v>56</v>
      </c>
    </row>
    <row r="9" spans="1:40" x14ac:dyDescent="0.25">
      <c r="A9" t="s">
        <v>57</v>
      </c>
      <c r="F9" t="s">
        <v>58</v>
      </c>
      <c r="L9" t="b">
        <v>0</v>
      </c>
      <c r="M9">
        <f t="shared" si="1"/>
        <v>0</v>
      </c>
      <c r="P9" s="17"/>
      <c r="T9">
        <v>8</v>
      </c>
      <c r="U9" t="s">
        <v>59</v>
      </c>
    </row>
    <row r="10" spans="1:40" x14ac:dyDescent="0.25">
      <c r="A10" t="s">
        <v>60</v>
      </c>
      <c r="F10" t="s">
        <v>61</v>
      </c>
      <c r="L10" t="b">
        <v>0</v>
      </c>
      <c r="M10">
        <f t="shared" si="1"/>
        <v>0</v>
      </c>
      <c r="T10">
        <v>9</v>
      </c>
      <c r="U10" t="s">
        <v>62</v>
      </c>
    </row>
    <row r="11" spans="1:40" x14ac:dyDescent="0.25">
      <c r="F11" t="s">
        <v>63</v>
      </c>
      <c r="L11" t="b">
        <v>0</v>
      </c>
      <c r="M11">
        <f t="shared" si="1"/>
        <v>0</v>
      </c>
      <c r="T11">
        <v>10</v>
      </c>
      <c r="U11" t="s">
        <v>64</v>
      </c>
    </row>
    <row r="12" spans="1:40" x14ac:dyDescent="0.25">
      <c r="A12" t="s">
        <v>65</v>
      </c>
      <c r="B12">
        <v>1</v>
      </c>
      <c r="C12" t="s">
        <v>66</v>
      </c>
      <c r="D12">
        <v>0</v>
      </c>
      <c r="F12" t="s">
        <v>67</v>
      </c>
      <c r="L12" t="b">
        <v>0</v>
      </c>
      <c r="M12">
        <f t="shared" si="1"/>
        <v>0</v>
      </c>
      <c r="T12">
        <v>11</v>
      </c>
      <c r="U12" t="s">
        <v>68</v>
      </c>
    </row>
    <row r="13" spans="1:40" x14ac:dyDescent="0.25">
      <c r="A13" t="s">
        <v>65</v>
      </c>
      <c r="C13" t="s">
        <v>69</v>
      </c>
      <c r="F13" t="s">
        <v>70</v>
      </c>
      <c r="L13" t="b">
        <v>0</v>
      </c>
      <c r="M13">
        <f t="shared" si="1"/>
        <v>0</v>
      </c>
      <c r="T13">
        <v>12</v>
      </c>
      <c r="U13" t="s">
        <v>71</v>
      </c>
    </row>
    <row r="14" spans="1:40" x14ac:dyDescent="0.25">
      <c r="A14" t="s">
        <v>72</v>
      </c>
      <c r="C14" t="s">
        <v>73</v>
      </c>
      <c r="L14" t="b">
        <v>0</v>
      </c>
      <c r="M14">
        <f t="shared" si="1"/>
        <v>0</v>
      </c>
      <c r="T14">
        <v>13</v>
      </c>
      <c r="U14" t="s">
        <v>74</v>
      </c>
    </row>
    <row r="15" spans="1:40" x14ac:dyDescent="0.25">
      <c r="C15" t="s">
        <v>75</v>
      </c>
      <c r="L15" t="b">
        <v>0</v>
      </c>
      <c r="M15">
        <f t="shared" si="1"/>
        <v>0</v>
      </c>
      <c r="T15">
        <v>14</v>
      </c>
      <c r="U15" t="s">
        <v>76</v>
      </c>
    </row>
    <row r="16" spans="1:40" x14ac:dyDescent="0.25">
      <c r="L16" t="b">
        <v>0</v>
      </c>
      <c r="M16">
        <f t="shared" si="1"/>
        <v>0</v>
      </c>
      <c r="T16">
        <v>15</v>
      </c>
      <c r="U16" t="s">
        <v>77</v>
      </c>
    </row>
    <row r="17" spans="1:21" x14ac:dyDescent="0.25">
      <c r="A17" t="s">
        <v>78</v>
      </c>
      <c r="B17">
        <v>1</v>
      </c>
      <c r="L17" t="b">
        <v>0</v>
      </c>
      <c r="M17">
        <f t="shared" si="1"/>
        <v>0</v>
      </c>
      <c r="T17">
        <v>16</v>
      </c>
      <c r="U17" t="s">
        <v>79</v>
      </c>
    </row>
    <row r="18" spans="1:21" x14ac:dyDescent="0.25">
      <c r="A18" t="s">
        <v>80</v>
      </c>
      <c r="M18">
        <f>SUM(M1:M17)</f>
        <v>0</v>
      </c>
    </row>
    <row r="19" spans="1:21" x14ac:dyDescent="0.25">
      <c r="A19" t="s">
        <v>81</v>
      </c>
    </row>
    <row r="20" spans="1:21" x14ac:dyDescent="0.25">
      <c r="A20" t="s">
        <v>82</v>
      </c>
    </row>
    <row r="21" spans="1:21" x14ac:dyDescent="0.25">
      <c r="A21" t="s">
        <v>83</v>
      </c>
    </row>
    <row r="22" spans="1:21" x14ac:dyDescent="0.25">
      <c r="A22" t="s">
        <v>84</v>
      </c>
    </row>
    <row r="23" spans="1:21" x14ac:dyDescent="0.25">
      <c r="A23" t="s">
        <v>85</v>
      </c>
    </row>
    <row r="24" spans="1:21" x14ac:dyDescent="0.25">
      <c r="A24" t="s">
        <v>86</v>
      </c>
    </row>
    <row r="25" spans="1:21" x14ac:dyDescent="0.25">
      <c r="A25" t="s">
        <v>87</v>
      </c>
    </row>
    <row r="26" spans="1:21" x14ac:dyDescent="0.25">
      <c r="A26" t="s">
        <v>88</v>
      </c>
    </row>
    <row r="27" spans="1:21" x14ac:dyDescent="0.25">
      <c r="A27" t="s">
        <v>89</v>
      </c>
    </row>
    <row r="28" spans="1:21" x14ac:dyDescent="0.25">
      <c r="A28" t="s">
        <v>90</v>
      </c>
    </row>
    <row r="29" spans="1:21" x14ac:dyDescent="0.25">
      <c r="A29" t="s">
        <v>91</v>
      </c>
    </row>
    <row r="30" spans="1:21" x14ac:dyDescent="0.25">
      <c r="A30" t="s">
        <v>92</v>
      </c>
    </row>
    <row r="31" spans="1:21" x14ac:dyDescent="0.25">
      <c r="A31" t="s">
        <v>93</v>
      </c>
    </row>
    <row r="32" spans="1:21" x14ac:dyDescent="0.25">
      <c r="A32" t="s">
        <v>94</v>
      </c>
    </row>
    <row r="33" spans="1:1" x14ac:dyDescent="0.25">
      <c r="A33" t="s">
        <v>95</v>
      </c>
    </row>
    <row r="34" spans="1:1" x14ac:dyDescent="0.25">
      <c r="A34" t="s">
        <v>96</v>
      </c>
    </row>
    <row r="35" spans="1:1" x14ac:dyDescent="0.25">
      <c r="A35" t="s">
        <v>97</v>
      </c>
    </row>
    <row r="36" spans="1:1" x14ac:dyDescent="0.25">
      <c r="A36" t="s">
        <v>98</v>
      </c>
    </row>
    <row r="37" spans="1:1" x14ac:dyDescent="0.25">
      <c r="A37" t="s">
        <v>99</v>
      </c>
    </row>
    <row r="38" spans="1:1" x14ac:dyDescent="0.25">
      <c r="A38" t="s">
        <v>100</v>
      </c>
    </row>
    <row r="39" spans="1:1" x14ac:dyDescent="0.25">
      <c r="A39" t="s">
        <v>101</v>
      </c>
    </row>
    <row r="40" spans="1:1" x14ac:dyDescent="0.25">
      <c r="A40" t="s">
        <v>102</v>
      </c>
    </row>
    <row r="41" spans="1:1" x14ac:dyDescent="0.25">
      <c r="A41" t="s">
        <v>103</v>
      </c>
    </row>
    <row r="42" spans="1:1" x14ac:dyDescent="0.25">
      <c r="A42" t="s">
        <v>104</v>
      </c>
    </row>
    <row r="43" spans="1:1" x14ac:dyDescent="0.25">
      <c r="A43" t="s">
        <v>105</v>
      </c>
    </row>
    <row r="44" spans="1:1" x14ac:dyDescent="0.25">
      <c r="A44" t="s">
        <v>106</v>
      </c>
    </row>
    <row r="45" spans="1:1" x14ac:dyDescent="0.25">
      <c r="A45" t="s">
        <v>107</v>
      </c>
    </row>
    <row r="46" spans="1:1" x14ac:dyDescent="0.25">
      <c r="A46" t="s">
        <v>108</v>
      </c>
    </row>
    <row r="47" spans="1:1" x14ac:dyDescent="0.25">
      <c r="A47" t="s">
        <v>109</v>
      </c>
    </row>
    <row r="49" spans="1:7" x14ac:dyDescent="0.25">
      <c r="A49" t="s">
        <v>110</v>
      </c>
      <c r="B49">
        <v>23</v>
      </c>
      <c r="C49">
        <v>6</v>
      </c>
      <c r="D49">
        <v>9</v>
      </c>
      <c r="F49" s="18" t="str">
        <f>_xlfn.CONCAT(B49,"/",C49,"/",VLOOKUP(D49,A51:C66,3,FALSE))</f>
        <v>23/6/2023</v>
      </c>
      <c r="G49" t="str">
        <f>MID(VLOOKUP(D49,A51:C62,3,FALSE),3,2)</f>
        <v>23</v>
      </c>
    </row>
    <row r="50" spans="1:7" x14ac:dyDescent="0.25">
      <c r="A50" t="s">
        <v>111</v>
      </c>
      <c r="B50" t="s">
        <v>112</v>
      </c>
      <c r="C50" t="s">
        <v>113</v>
      </c>
    </row>
    <row r="51" spans="1:7" x14ac:dyDescent="0.25">
      <c r="A51">
        <v>1</v>
      </c>
      <c r="B51" t="s">
        <v>114</v>
      </c>
      <c r="C51">
        <v>2015</v>
      </c>
      <c r="F51" s="18"/>
    </row>
    <row r="52" spans="1:7" x14ac:dyDescent="0.25">
      <c r="A52">
        <v>2</v>
      </c>
      <c r="B52" t="s">
        <v>115</v>
      </c>
      <c r="C52">
        <v>2016</v>
      </c>
    </row>
    <row r="53" spans="1:7" x14ac:dyDescent="0.25">
      <c r="A53">
        <v>3</v>
      </c>
      <c r="B53" t="s">
        <v>116</v>
      </c>
      <c r="C53">
        <v>2017</v>
      </c>
    </row>
    <row r="54" spans="1:7" x14ac:dyDescent="0.25">
      <c r="A54">
        <v>4</v>
      </c>
      <c r="B54" t="s">
        <v>117</v>
      </c>
      <c r="C54">
        <v>2018</v>
      </c>
    </row>
    <row r="55" spans="1:7" x14ac:dyDescent="0.25">
      <c r="A55">
        <v>5</v>
      </c>
      <c r="B55" t="s">
        <v>118</v>
      </c>
      <c r="C55">
        <v>2019</v>
      </c>
    </row>
    <row r="56" spans="1:7" x14ac:dyDescent="0.25">
      <c r="A56">
        <v>6</v>
      </c>
      <c r="B56" t="s">
        <v>119</v>
      </c>
      <c r="C56">
        <v>2020</v>
      </c>
    </row>
    <row r="57" spans="1:7" x14ac:dyDescent="0.25">
      <c r="A57">
        <v>7</v>
      </c>
      <c r="B57" t="s">
        <v>120</v>
      </c>
      <c r="C57">
        <v>2021</v>
      </c>
    </row>
    <row r="58" spans="1:7" x14ac:dyDescent="0.25">
      <c r="A58">
        <v>8</v>
      </c>
      <c r="B58" t="s">
        <v>121</v>
      </c>
      <c r="C58">
        <v>2022</v>
      </c>
    </row>
    <row r="59" spans="1:7" x14ac:dyDescent="0.25">
      <c r="A59">
        <v>9</v>
      </c>
      <c r="B59" t="s">
        <v>122</v>
      </c>
      <c r="C59">
        <v>2023</v>
      </c>
    </row>
    <row r="60" spans="1:7" x14ac:dyDescent="0.25">
      <c r="A60">
        <v>10</v>
      </c>
      <c r="B60" t="s">
        <v>123</v>
      </c>
      <c r="C60">
        <v>2024</v>
      </c>
    </row>
    <row r="61" spans="1:7" x14ac:dyDescent="0.25">
      <c r="A61">
        <v>11</v>
      </c>
      <c r="B61" t="s">
        <v>124</v>
      </c>
      <c r="C61">
        <v>2025</v>
      </c>
    </row>
    <row r="62" spans="1:7" x14ac:dyDescent="0.25">
      <c r="A62">
        <v>12</v>
      </c>
      <c r="B62" t="s">
        <v>125</v>
      </c>
      <c r="C62">
        <v>2026</v>
      </c>
    </row>
    <row r="63" spans="1:7" x14ac:dyDescent="0.25">
      <c r="A63">
        <v>13</v>
      </c>
      <c r="C63">
        <v>2027</v>
      </c>
    </row>
    <row r="64" spans="1:7" x14ac:dyDescent="0.25">
      <c r="A64">
        <v>14</v>
      </c>
      <c r="C64">
        <v>2028</v>
      </c>
    </row>
    <row r="65" spans="1:3" x14ac:dyDescent="0.25">
      <c r="A65">
        <v>15</v>
      </c>
      <c r="C65">
        <v>2029</v>
      </c>
    </row>
    <row r="66" spans="1:3" x14ac:dyDescent="0.25">
      <c r="A66">
        <v>16</v>
      </c>
      <c r="C66">
        <v>2030</v>
      </c>
    </row>
    <row r="67" spans="1:3" x14ac:dyDescent="0.25">
      <c r="A67">
        <v>17</v>
      </c>
    </row>
    <row r="68" spans="1:3" x14ac:dyDescent="0.25">
      <c r="A68">
        <v>18</v>
      </c>
    </row>
    <row r="69" spans="1:3" x14ac:dyDescent="0.25">
      <c r="A69">
        <v>19</v>
      </c>
    </row>
    <row r="70" spans="1:3" x14ac:dyDescent="0.25">
      <c r="A70">
        <v>20</v>
      </c>
    </row>
    <row r="71" spans="1:3" x14ac:dyDescent="0.25">
      <c r="A71">
        <v>21</v>
      </c>
    </row>
    <row r="72" spans="1:3" x14ac:dyDescent="0.25">
      <c r="A72">
        <v>22</v>
      </c>
    </row>
    <row r="73" spans="1:3" x14ac:dyDescent="0.25">
      <c r="A73">
        <v>23</v>
      </c>
    </row>
    <row r="74" spans="1:3" x14ac:dyDescent="0.25">
      <c r="A74">
        <v>24</v>
      </c>
    </row>
    <row r="75" spans="1:3" x14ac:dyDescent="0.25">
      <c r="A75">
        <v>25</v>
      </c>
    </row>
    <row r="76" spans="1:3" x14ac:dyDescent="0.25">
      <c r="A76">
        <v>26</v>
      </c>
    </row>
    <row r="77" spans="1:3" x14ac:dyDescent="0.25">
      <c r="A77">
        <v>27</v>
      </c>
    </row>
    <row r="78" spans="1:3" x14ac:dyDescent="0.25">
      <c r="A78">
        <v>28</v>
      </c>
    </row>
    <row r="79" spans="1:3" x14ac:dyDescent="0.25">
      <c r="A79">
        <v>29</v>
      </c>
    </row>
    <row r="80" spans="1:3" x14ac:dyDescent="0.25">
      <c r="A80">
        <v>30</v>
      </c>
    </row>
    <row r="81" spans="1:11" x14ac:dyDescent="0.25">
      <c r="A81">
        <v>31</v>
      </c>
    </row>
    <row r="82" spans="1:11" x14ac:dyDescent="0.25">
      <c r="J82" t="s">
        <v>26</v>
      </c>
    </row>
    <row r="83" spans="1:11" x14ac:dyDescent="0.25">
      <c r="J83" t="s">
        <v>126</v>
      </c>
      <c r="K83" t="s">
        <v>127</v>
      </c>
    </row>
    <row r="84" spans="1:11" x14ac:dyDescent="0.25">
      <c r="J84" t="s">
        <v>128</v>
      </c>
      <c r="K84" t="s">
        <v>129</v>
      </c>
    </row>
    <row r="85" spans="1:11" x14ac:dyDescent="0.25">
      <c r="J85" t="s">
        <v>128</v>
      </c>
      <c r="K85" t="s">
        <v>130</v>
      </c>
    </row>
    <row r="86" spans="1:11" x14ac:dyDescent="0.25">
      <c r="J86" t="s">
        <v>131</v>
      </c>
      <c r="K86" t="s">
        <v>132</v>
      </c>
    </row>
    <row r="87" spans="1:11" x14ac:dyDescent="0.25">
      <c r="J87" t="s">
        <v>133</v>
      </c>
      <c r="K87" t="s">
        <v>6</v>
      </c>
    </row>
  </sheetData>
  <phoneticPr fontId="8" type="noConversion"/>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C16139-D3E0-43FC-88A2-164D0B6C937E}">
  <sheetPr codeName="Hoja8"/>
  <dimension ref="A2:C100"/>
  <sheetViews>
    <sheetView zoomScale="85" zoomScaleNormal="85" workbookViewId="0">
      <selection activeCell="D2" sqref="D2"/>
    </sheetView>
  </sheetViews>
  <sheetFormatPr baseColWidth="10" defaultColWidth="11.42578125" defaultRowHeight="15" x14ac:dyDescent="0.3"/>
  <cols>
    <col min="1" max="1" width="13.28515625" style="21" customWidth="1"/>
    <col min="2" max="2" width="11.42578125" style="21" customWidth="1"/>
    <col min="3" max="3" width="76.7109375" style="21" customWidth="1"/>
    <col min="4" max="16384" width="11.42578125" style="21"/>
  </cols>
  <sheetData>
    <row r="2" spans="3:3" ht="46.5" customHeight="1" x14ac:dyDescent="0.3">
      <c r="C2" s="99" t="s">
        <v>134</v>
      </c>
    </row>
    <row r="3" spans="3:3" ht="19.5" customHeight="1" x14ac:dyDescent="0.3"/>
    <row r="4" spans="3:3" x14ac:dyDescent="0.3">
      <c r="C4" s="113" t="s">
        <v>135</v>
      </c>
    </row>
    <row r="5" spans="3:3" ht="30" x14ac:dyDescent="0.3">
      <c r="C5" s="1" t="s">
        <v>136</v>
      </c>
    </row>
    <row r="6" spans="3:3" ht="30" x14ac:dyDescent="0.3">
      <c r="C6" s="1" t="s">
        <v>137</v>
      </c>
    </row>
    <row r="7" spans="3:3" ht="30" x14ac:dyDescent="0.3">
      <c r="C7" s="1" t="s">
        <v>138</v>
      </c>
    </row>
    <row r="8" spans="3:3" ht="30" x14ac:dyDescent="0.3">
      <c r="C8" s="1" t="s">
        <v>139</v>
      </c>
    </row>
    <row r="9" spans="3:3" x14ac:dyDescent="0.3">
      <c r="C9" s="90"/>
    </row>
    <row r="11" spans="3:3" x14ac:dyDescent="0.3">
      <c r="C11" s="113" t="s">
        <v>140</v>
      </c>
    </row>
    <row r="12" spans="3:3" ht="180" x14ac:dyDescent="0.3">
      <c r="C12" s="1" t="s">
        <v>141</v>
      </c>
    </row>
    <row r="13" spans="3:3" ht="30" x14ac:dyDescent="0.3">
      <c r="C13" s="34" t="s">
        <v>142</v>
      </c>
    </row>
    <row r="14" spans="3:3" ht="75" x14ac:dyDescent="0.3">
      <c r="C14" s="51" t="s">
        <v>143</v>
      </c>
    </row>
    <row r="15" spans="3:3" ht="75" x14ac:dyDescent="0.3">
      <c r="C15" s="1" t="s">
        <v>144</v>
      </c>
    </row>
    <row r="16" spans="3:3" ht="75" x14ac:dyDescent="0.3">
      <c r="C16" s="1" t="s">
        <v>145</v>
      </c>
    </row>
    <row r="17" spans="3:3" ht="45" x14ac:dyDescent="0.3">
      <c r="C17" s="1" t="s">
        <v>146</v>
      </c>
    </row>
    <row r="18" spans="3:3" x14ac:dyDescent="0.3">
      <c r="C18" s="90"/>
    </row>
    <row r="19" spans="3:3" x14ac:dyDescent="0.3">
      <c r="C19" s="90"/>
    </row>
    <row r="20" spans="3:3" x14ac:dyDescent="0.3">
      <c r="C20" s="90"/>
    </row>
    <row r="21" spans="3:3" x14ac:dyDescent="0.3">
      <c r="C21" s="90"/>
    </row>
    <row r="22" spans="3:3" x14ac:dyDescent="0.3">
      <c r="C22" s="90"/>
    </row>
    <row r="100" spans="1:1" x14ac:dyDescent="0.3">
      <c r="A100" s="21">
        <v>1</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5713" r:id="rId4" name="Button 1">
              <controlPr defaultSize="0" print="0" autoFill="0" autoPict="0" macro="[0]!Regresar">
                <anchor moveWithCells="1" sizeWithCells="1">
                  <from>
                    <xdr:col>3</xdr:col>
                    <xdr:colOff>95250</xdr:colOff>
                    <xdr:row>1</xdr:row>
                    <xdr:rowOff>95250</xdr:rowOff>
                  </from>
                  <to>
                    <xdr:col>4</xdr:col>
                    <xdr:colOff>342900</xdr:colOff>
                    <xdr:row>1</xdr:row>
                    <xdr:rowOff>495300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2D2F48-8EF8-403F-A5C0-2599A5F5A2C9}">
  <sheetPr codeName="Hoja3"/>
  <dimension ref="A2:XFD100"/>
  <sheetViews>
    <sheetView tabSelected="1" zoomScaleNormal="100" workbookViewId="0">
      <pane ySplit="4" topLeftCell="A21" activePane="bottomLeft" state="frozen"/>
      <selection activeCell="E4" sqref="E4:G4"/>
      <selection pane="bottomLeft" activeCell="J23" sqref="J23"/>
    </sheetView>
  </sheetViews>
  <sheetFormatPr baseColWidth="10" defaultColWidth="11.42578125" defaultRowHeight="15" x14ac:dyDescent="0.25"/>
  <cols>
    <col min="1" max="1" width="13.28515625" style="3" customWidth="1"/>
    <col min="2" max="3" width="11.42578125" style="3"/>
    <col min="4" max="4" width="13.7109375" style="3" customWidth="1"/>
    <col min="5" max="5" width="73.28515625" style="138" customWidth="1"/>
    <col min="6" max="6" width="13.85546875" style="3" customWidth="1"/>
    <col min="7" max="7" width="20" style="3" customWidth="1"/>
    <col min="8" max="9" width="13.85546875" style="3" customWidth="1"/>
    <col min="10" max="10" width="62.7109375" style="3" customWidth="1"/>
    <col min="11" max="11" width="48.7109375" style="3" customWidth="1"/>
    <col min="12" max="16384" width="11.42578125" style="3"/>
  </cols>
  <sheetData>
    <row r="2" spans="2:11 16384:16384" ht="46.5" customHeight="1" x14ac:dyDescent="0.25"/>
    <row r="3" spans="2:11 16384:16384" ht="19.5" customHeight="1" x14ac:dyDescent="0.3">
      <c r="B3" s="161" t="s">
        <v>147</v>
      </c>
      <c r="C3" s="161"/>
      <c r="D3" s="161"/>
      <c r="E3" s="161"/>
    </row>
    <row r="4" spans="2:11 16384:16384" ht="30" x14ac:dyDescent="0.25">
      <c r="B4" s="168" t="s">
        <v>148</v>
      </c>
      <c r="C4" s="168"/>
      <c r="D4" s="168"/>
      <c r="E4" s="9" t="s">
        <v>149</v>
      </c>
      <c r="F4" s="9" t="s">
        <v>150</v>
      </c>
      <c r="G4" s="9" t="s">
        <v>151</v>
      </c>
      <c r="H4" s="9" t="s">
        <v>152</v>
      </c>
      <c r="I4" s="9" t="s">
        <v>153</v>
      </c>
      <c r="J4" s="8" t="s">
        <v>154</v>
      </c>
      <c r="K4" s="8" t="s">
        <v>155</v>
      </c>
    </row>
    <row r="5" spans="2:11 16384:16384" ht="153" customHeight="1" x14ac:dyDescent="0.25">
      <c r="B5" s="162" t="s">
        <v>156</v>
      </c>
      <c r="C5" s="165" t="s">
        <v>157</v>
      </c>
      <c r="D5" s="139" t="s">
        <v>158</v>
      </c>
      <c r="E5" s="140" t="s">
        <v>159</v>
      </c>
      <c r="F5" s="141"/>
      <c r="G5" s="142" t="s">
        <v>487</v>
      </c>
      <c r="H5" s="141">
        <v>1</v>
      </c>
      <c r="I5" s="141"/>
      <c r="J5" s="140" t="s">
        <v>492</v>
      </c>
      <c r="K5" s="143"/>
      <c r="XFD5" s="49" t="s">
        <v>157</v>
      </c>
    </row>
    <row r="6" spans="2:11 16384:16384" ht="182.25" customHeight="1" x14ac:dyDescent="0.25">
      <c r="B6" s="163"/>
      <c r="C6" s="166"/>
      <c r="D6" s="142" t="s">
        <v>160</v>
      </c>
      <c r="E6" s="140" t="s">
        <v>161</v>
      </c>
      <c r="F6" s="141"/>
      <c r="G6" s="142"/>
      <c r="H6" s="141"/>
      <c r="I6" s="141"/>
      <c r="J6" s="143"/>
      <c r="K6" s="143"/>
      <c r="XFD6" s="49" t="s">
        <v>157</v>
      </c>
    </row>
    <row r="7" spans="2:11 16384:16384" ht="183" customHeight="1" x14ac:dyDescent="0.25">
      <c r="B7" s="163"/>
      <c r="C7" s="166"/>
      <c r="D7" s="142" t="s">
        <v>162</v>
      </c>
      <c r="E7" s="140" t="s">
        <v>163</v>
      </c>
      <c r="F7" s="141"/>
      <c r="G7" s="142" t="s">
        <v>488</v>
      </c>
      <c r="H7" s="141">
        <v>7</v>
      </c>
      <c r="I7" s="141">
        <v>5</v>
      </c>
      <c r="J7" s="140" t="s">
        <v>489</v>
      </c>
      <c r="K7" s="143"/>
      <c r="XFD7" s="49" t="s">
        <v>157</v>
      </c>
    </row>
    <row r="8" spans="2:11 16384:16384" ht="122.25" customHeight="1" x14ac:dyDescent="0.25">
      <c r="B8" s="163"/>
      <c r="C8" s="166"/>
      <c r="D8" s="142" t="s">
        <v>164</v>
      </c>
      <c r="E8" s="140" t="s">
        <v>165</v>
      </c>
      <c r="F8" s="141"/>
      <c r="G8" s="142" t="s">
        <v>490</v>
      </c>
      <c r="H8" s="141">
        <v>2</v>
      </c>
      <c r="I8" s="141"/>
      <c r="J8" s="140" t="s">
        <v>491</v>
      </c>
      <c r="K8" s="143"/>
      <c r="XFD8" s="49" t="s">
        <v>157</v>
      </c>
    </row>
    <row r="9" spans="2:11 16384:16384" ht="135" x14ac:dyDescent="0.25">
      <c r="B9" s="163"/>
      <c r="C9" s="166"/>
      <c r="D9" s="142" t="s">
        <v>166</v>
      </c>
      <c r="E9" s="140" t="s">
        <v>167</v>
      </c>
      <c r="F9" s="141"/>
      <c r="G9" s="176" t="s">
        <v>493</v>
      </c>
      <c r="H9" s="141">
        <v>4</v>
      </c>
      <c r="I9" s="141" t="s">
        <v>499</v>
      </c>
      <c r="J9" s="158" t="s">
        <v>500</v>
      </c>
      <c r="K9" s="143"/>
      <c r="XFD9" s="49" t="s">
        <v>157</v>
      </c>
    </row>
    <row r="10" spans="2:11 16384:16384" ht="54.95" customHeight="1" x14ac:dyDescent="0.25">
      <c r="B10" s="163"/>
      <c r="C10" s="166"/>
      <c r="D10" s="142" t="s">
        <v>168</v>
      </c>
      <c r="E10" s="140" t="s">
        <v>169</v>
      </c>
      <c r="F10" s="141"/>
      <c r="G10" s="142" t="s">
        <v>494</v>
      </c>
      <c r="H10" s="141">
        <v>5</v>
      </c>
      <c r="I10" s="141" t="s">
        <v>495</v>
      </c>
      <c r="J10" s="159"/>
      <c r="K10" s="143"/>
      <c r="XFD10" s="49" t="s">
        <v>157</v>
      </c>
    </row>
    <row r="11" spans="2:11 16384:16384" ht="54.95" customHeight="1" x14ac:dyDescent="0.25">
      <c r="B11" s="163"/>
      <c r="C11" s="166"/>
      <c r="D11" s="142" t="s">
        <v>170</v>
      </c>
      <c r="E11" s="140" t="s">
        <v>171</v>
      </c>
      <c r="F11" s="141"/>
      <c r="G11" s="142" t="s">
        <v>494</v>
      </c>
      <c r="H11" s="141">
        <v>5</v>
      </c>
      <c r="I11" s="141" t="s">
        <v>496</v>
      </c>
      <c r="J11" s="159"/>
      <c r="K11" s="143"/>
      <c r="XFD11" s="49" t="s">
        <v>157</v>
      </c>
    </row>
    <row r="12" spans="2:11 16384:16384" ht="54.95" customHeight="1" x14ac:dyDescent="0.25">
      <c r="B12" s="163"/>
      <c r="C12" s="166"/>
      <c r="D12" s="142" t="s">
        <v>172</v>
      </c>
      <c r="E12" s="140" t="s">
        <v>173</v>
      </c>
      <c r="F12" s="141"/>
      <c r="G12" s="142" t="s">
        <v>494</v>
      </c>
      <c r="H12" s="141">
        <v>5</v>
      </c>
      <c r="I12" s="141" t="s">
        <v>497</v>
      </c>
      <c r="J12" s="159"/>
      <c r="K12" s="143"/>
      <c r="XFD12" s="49" t="s">
        <v>157</v>
      </c>
    </row>
    <row r="13" spans="2:11 16384:16384" ht="121.5" customHeight="1" x14ac:dyDescent="0.25">
      <c r="B13" s="163"/>
      <c r="C13" s="166"/>
      <c r="D13" s="142" t="s">
        <v>174</v>
      </c>
      <c r="E13" s="140" t="s">
        <v>175</v>
      </c>
      <c r="F13" s="141"/>
      <c r="G13" s="142" t="s">
        <v>494</v>
      </c>
      <c r="H13" s="141">
        <v>5</v>
      </c>
      <c r="I13" s="141" t="s">
        <v>498</v>
      </c>
      <c r="J13" s="160"/>
      <c r="K13" s="143"/>
      <c r="XFD13" s="49" t="s">
        <v>157</v>
      </c>
    </row>
    <row r="14" spans="2:11 16384:16384" ht="288" customHeight="1" x14ac:dyDescent="0.25">
      <c r="B14" s="163"/>
      <c r="C14" s="167"/>
      <c r="D14" s="142" t="s">
        <v>176</v>
      </c>
      <c r="E14" s="144" t="s">
        <v>177</v>
      </c>
      <c r="F14" s="141"/>
      <c r="G14" s="142" t="s">
        <v>501</v>
      </c>
      <c r="H14" s="141">
        <v>4</v>
      </c>
      <c r="I14" s="141" t="s">
        <v>495</v>
      </c>
      <c r="J14" s="140" t="s">
        <v>502</v>
      </c>
      <c r="K14" s="143"/>
      <c r="XFD14" s="49" t="s">
        <v>157</v>
      </c>
    </row>
    <row r="15" spans="2:11 16384:16384" ht="90" x14ac:dyDescent="0.25">
      <c r="B15" s="163"/>
      <c r="C15" s="169" t="s">
        <v>178</v>
      </c>
      <c r="D15" s="142" t="s">
        <v>179</v>
      </c>
      <c r="E15" s="140" t="s">
        <v>180</v>
      </c>
      <c r="F15" s="141"/>
      <c r="G15" s="142" t="s">
        <v>487</v>
      </c>
      <c r="H15" s="141">
        <v>7</v>
      </c>
      <c r="I15" s="141"/>
      <c r="J15" s="143" t="s">
        <v>503</v>
      </c>
      <c r="K15" s="143"/>
      <c r="XFD15" s="50" t="s">
        <v>178</v>
      </c>
    </row>
    <row r="16" spans="2:11 16384:16384" ht="120" x14ac:dyDescent="0.25">
      <c r="B16" s="163"/>
      <c r="C16" s="170"/>
      <c r="D16" s="142" t="s">
        <v>181</v>
      </c>
      <c r="E16" s="144" t="s">
        <v>182</v>
      </c>
      <c r="F16" s="141"/>
      <c r="G16" s="142" t="s">
        <v>504</v>
      </c>
      <c r="H16" s="141" t="s">
        <v>505</v>
      </c>
      <c r="I16" s="141"/>
      <c r="J16" s="143" t="s">
        <v>506</v>
      </c>
      <c r="K16" s="143"/>
      <c r="XFD16" s="50" t="s">
        <v>178</v>
      </c>
    </row>
    <row r="17" spans="1:11 16384:16384" ht="285.75" customHeight="1" x14ac:dyDescent="0.25">
      <c r="B17" s="164"/>
      <c r="C17" s="171"/>
      <c r="D17" s="142" t="s">
        <v>164</v>
      </c>
      <c r="E17" s="140" t="s">
        <v>183</v>
      </c>
      <c r="F17" s="141"/>
      <c r="G17" s="142"/>
      <c r="H17" s="141"/>
      <c r="I17" s="141"/>
      <c r="J17" s="143"/>
      <c r="K17" s="143"/>
      <c r="XFD17" s="50" t="s">
        <v>178</v>
      </c>
    </row>
    <row r="18" spans="1:11 16384:16384" ht="60" x14ac:dyDescent="0.25">
      <c r="B18" s="162" t="s">
        <v>184</v>
      </c>
      <c r="C18" s="165" t="s">
        <v>185</v>
      </c>
      <c r="D18" s="142" t="s">
        <v>186</v>
      </c>
      <c r="E18" s="140" t="s">
        <v>187</v>
      </c>
      <c r="F18" s="145"/>
      <c r="G18" s="145"/>
      <c r="H18" s="145"/>
      <c r="I18" s="145"/>
      <c r="J18" s="146"/>
      <c r="K18" s="146"/>
      <c r="XFD18" s="49" t="s">
        <v>185</v>
      </c>
    </row>
    <row r="19" spans="1:11 16384:16384" ht="75" x14ac:dyDescent="0.25">
      <c r="B19" s="163"/>
      <c r="C19" s="166"/>
      <c r="D19" s="142" t="s">
        <v>188</v>
      </c>
      <c r="E19" s="140" t="s">
        <v>189</v>
      </c>
      <c r="F19" s="141"/>
      <c r="G19" s="141"/>
      <c r="H19" s="141"/>
      <c r="I19" s="141"/>
      <c r="J19" s="143"/>
      <c r="K19" s="143"/>
      <c r="XFD19" s="49" t="s">
        <v>185</v>
      </c>
    </row>
    <row r="20" spans="1:11 16384:16384" ht="45" x14ac:dyDescent="0.25">
      <c r="B20" s="163"/>
      <c r="C20" s="166"/>
      <c r="D20" s="142" t="s">
        <v>166</v>
      </c>
      <c r="E20" s="140" t="s">
        <v>190</v>
      </c>
      <c r="F20" s="145"/>
      <c r="G20" s="145"/>
      <c r="H20" s="145"/>
      <c r="I20" s="145"/>
      <c r="J20" s="146"/>
      <c r="K20" s="146"/>
      <c r="XFD20" s="49" t="s">
        <v>185</v>
      </c>
    </row>
    <row r="21" spans="1:11 16384:16384" ht="168" customHeight="1" x14ac:dyDescent="0.25">
      <c r="B21" s="163"/>
      <c r="C21" s="166"/>
      <c r="D21" s="142" t="s">
        <v>191</v>
      </c>
      <c r="E21" s="140" t="s">
        <v>192</v>
      </c>
      <c r="F21" s="141"/>
      <c r="G21" s="142" t="s">
        <v>507</v>
      </c>
      <c r="H21" s="141">
        <v>2</v>
      </c>
      <c r="I21" s="141" t="s">
        <v>508</v>
      </c>
      <c r="J21" s="143" t="s">
        <v>509</v>
      </c>
      <c r="K21" s="143"/>
      <c r="XFD21" s="49" t="s">
        <v>185</v>
      </c>
    </row>
    <row r="22" spans="1:11 16384:16384" ht="78.75" customHeight="1" x14ac:dyDescent="0.25">
      <c r="B22" s="163"/>
      <c r="C22" s="166"/>
      <c r="D22" s="142" t="s">
        <v>193</v>
      </c>
      <c r="E22" s="140" t="s">
        <v>194</v>
      </c>
      <c r="F22" s="141"/>
      <c r="G22" s="142" t="s">
        <v>507</v>
      </c>
      <c r="H22" s="141">
        <v>2</v>
      </c>
      <c r="I22" s="141" t="s">
        <v>510</v>
      </c>
      <c r="J22" s="140" t="s">
        <v>511</v>
      </c>
      <c r="K22" s="143"/>
      <c r="XFD22" s="49" t="s">
        <v>185</v>
      </c>
    </row>
    <row r="23" spans="1:11 16384:16384" ht="120" customHeight="1" x14ac:dyDescent="0.25">
      <c r="B23" s="163"/>
      <c r="C23" s="166"/>
      <c r="D23" s="142" t="s">
        <v>195</v>
      </c>
      <c r="E23" s="140" t="s">
        <v>196</v>
      </c>
      <c r="F23" s="141"/>
      <c r="G23" s="142" t="s">
        <v>507</v>
      </c>
      <c r="H23" s="141">
        <v>2</v>
      </c>
      <c r="I23" s="141" t="s">
        <v>510</v>
      </c>
      <c r="J23" s="143"/>
      <c r="K23" s="143"/>
      <c r="XFD23" s="49" t="s">
        <v>185</v>
      </c>
    </row>
    <row r="24" spans="1:11 16384:16384" ht="76.5" customHeight="1" x14ac:dyDescent="0.25">
      <c r="B24" s="163"/>
      <c r="C24" s="166"/>
      <c r="D24" s="142" t="s">
        <v>197</v>
      </c>
      <c r="E24" s="140" t="s">
        <v>198</v>
      </c>
      <c r="F24" s="141"/>
      <c r="G24" s="142" t="s">
        <v>507</v>
      </c>
      <c r="H24" s="141">
        <v>2</v>
      </c>
      <c r="I24" s="141"/>
      <c r="J24" s="143"/>
      <c r="K24" s="143"/>
      <c r="XFD24" s="49" t="s">
        <v>185</v>
      </c>
    </row>
    <row r="25" spans="1:11 16384:16384" ht="166.5" customHeight="1" x14ac:dyDescent="0.25">
      <c r="B25" s="163"/>
      <c r="C25" s="166"/>
      <c r="D25" s="142" t="s">
        <v>199</v>
      </c>
      <c r="E25" s="140" t="s">
        <v>200</v>
      </c>
      <c r="F25" s="141"/>
      <c r="G25" s="142" t="s">
        <v>507</v>
      </c>
      <c r="H25" s="141">
        <v>2</v>
      </c>
      <c r="I25" s="141"/>
      <c r="J25" s="143"/>
      <c r="K25" s="143"/>
      <c r="XFD25" s="49" t="s">
        <v>185</v>
      </c>
    </row>
    <row r="26" spans="1:11 16384:16384" ht="75" x14ac:dyDescent="0.3">
      <c r="A26" s="102"/>
      <c r="B26" s="163"/>
      <c r="C26" s="166"/>
      <c r="D26" s="142" t="s">
        <v>201</v>
      </c>
      <c r="E26" s="140" t="s">
        <v>202</v>
      </c>
      <c r="F26" s="141"/>
      <c r="G26" s="141"/>
      <c r="H26" s="141"/>
      <c r="I26" s="141"/>
      <c r="J26" s="143"/>
      <c r="K26" s="140"/>
      <c r="XFD26" s="49" t="s">
        <v>185</v>
      </c>
    </row>
    <row r="27" spans="1:11 16384:16384" ht="254.25" customHeight="1" x14ac:dyDescent="0.25">
      <c r="B27" s="163"/>
      <c r="C27" s="166"/>
      <c r="D27" s="142" t="s">
        <v>204</v>
      </c>
      <c r="E27" s="140" t="s">
        <v>205</v>
      </c>
      <c r="F27" s="141"/>
      <c r="G27" s="142"/>
      <c r="H27" s="142"/>
      <c r="I27" s="142"/>
      <c r="J27" s="140"/>
      <c r="K27" s="143"/>
      <c r="XFD27" s="49" t="s">
        <v>185</v>
      </c>
    </row>
    <row r="28" spans="1:11 16384:16384" ht="195" customHeight="1" x14ac:dyDescent="0.25">
      <c r="B28" s="164"/>
      <c r="C28" s="167"/>
      <c r="D28" s="142" t="s">
        <v>206</v>
      </c>
      <c r="E28" s="140" t="s">
        <v>207</v>
      </c>
      <c r="F28" s="141"/>
      <c r="G28" s="142"/>
      <c r="H28" s="142"/>
      <c r="I28" s="141"/>
      <c r="J28" s="140"/>
      <c r="K28" s="143"/>
      <c r="XFD28" s="49" t="s">
        <v>185</v>
      </c>
    </row>
    <row r="100" spans="1:1" x14ac:dyDescent="0.25">
      <c r="A100" s="3">
        <v>4</v>
      </c>
    </row>
  </sheetData>
  <mergeCells count="8">
    <mergeCell ref="J9:J13"/>
    <mergeCell ref="B3:E3"/>
    <mergeCell ref="B18:B28"/>
    <mergeCell ref="C18:C28"/>
    <mergeCell ref="B4:D4"/>
    <mergeCell ref="B5:B17"/>
    <mergeCell ref="C5:C14"/>
    <mergeCell ref="C15:C17"/>
  </mergeCells>
  <hyperlinks>
    <hyperlink ref="E16" r:id="rId1" display="En caso de que los servicios o comisiones a contratar se refieran a la utilización de infraestructura tecnológica o de telecomunicaciones, el aviso deberá contener adicionalmente un informe técnico que especifique el tipo de operaciones o servicios bancarios que habrán de celebrarse utilizando la base tecnológica que le sea proveída por terceros o comisionistas, así como la forma en que se dará cumplimiento a los lineamientos mínimos de operación y seguridad, que se señalan en el Anexo 52 de las presentes disposiciones." xr:uid="{930E2F49-BFA7-41AB-88D3-1AC669CDC69D}"/>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1265" r:id="rId5" name="Button 1">
              <controlPr defaultSize="0" print="0" autoFill="0" autoPict="0" macro="[0]!Limpia">
                <anchor moveWithCells="1" sizeWithCells="1">
                  <from>
                    <xdr:col>5</xdr:col>
                    <xdr:colOff>76200</xdr:colOff>
                    <xdr:row>1</xdr:row>
                    <xdr:rowOff>76200</xdr:rowOff>
                  </from>
                  <to>
                    <xdr:col>6</xdr:col>
                    <xdr:colOff>161925</xdr:colOff>
                    <xdr:row>1</xdr:row>
                    <xdr:rowOff>476250</xdr:rowOff>
                  </to>
                </anchor>
              </controlPr>
            </control>
          </mc:Choice>
        </mc:AlternateContent>
        <mc:AlternateContent xmlns:mc="http://schemas.openxmlformats.org/markup-compatibility/2006">
          <mc:Choice Requires="x14">
            <control shapeId="11269" r:id="rId6" name="Button 5">
              <controlPr defaultSize="0" print="0" autoFill="0" autoPict="0" macro="[0]!ContinuarAspectos">
                <anchor moveWithCells="1" sizeWithCells="1">
                  <from>
                    <xdr:col>8</xdr:col>
                    <xdr:colOff>742950</xdr:colOff>
                    <xdr:row>1</xdr:row>
                    <xdr:rowOff>76200</xdr:rowOff>
                  </from>
                  <to>
                    <xdr:col>9</xdr:col>
                    <xdr:colOff>828675</xdr:colOff>
                    <xdr:row>1</xdr:row>
                    <xdr:rowOff>476250</xdr:rowOff>
                  </to>
                </anchor>
              </controlPr>
            </control>
          </mc:Choice>
        </mc:AlternateContent>
        <mc:AlternateContent xmlns:mc="http://schemas.openxmlformats.org/markup-compatibility/2006">
          <mc:Choice Requires="x14">
            <control shapeId="11270" r:id="rId7" name="Button 6">
              <controlPr defaultSize="0" print="0" autoFill="0" autoPict="0" macro="[0]!Regresar">
                <anchor moveWithCells="1" sizeWithCells="1">
                  <from>
                    <xdr:col>6</xdr:col>
                    <xdr:colOff>295275</xdr:colOff>
                    <xdr:row>1</xdr:row>
                    <xdr:rowOff>76200</xdr:rowOff>
                  </from>
                  <to>
                    <xdr:col>7</xdr:col>
                    <xdr:colOff>381000</xdr:colOff>
                    <xdr:row>1</xdr:row>
                    <xdr:rowOff>476250</xdr:rowOff>
                  </to>
                </anchor>
              </controlPr>
            </control>
          </mc:Choice>
        </mc:AlternateContent>
        <mc:AlternateContent xmlns:mc="http://schemas.openxmlformats.org/markup-compatibility/2006">
          <mc:Choice Requires="x14">
            <control shapeId="11271" r:id="rId8" name="Button 7">
              <controlPr defaultSize="0" print="0" autoFill="0" autoPict="0" macro="[0]!Referencias">
                <anchor moveWithCells="1" sizeWithCells="1">
                  <from>
                    <xdr:col>7</xdr:col>
                    <xdr:colOff>514350</xdr:colOff>
                    <xdr:row>1</xdr:row>
                    <xdr:rowOff>76200</xdr:rowOff>
                  </from>
                  <to>
                    <xdr:col>8</xdr:col>
                    <xdr:colOff>600075</xdr:colOff>
                    <xdr:row>1</xdr:row>
                    <xdr:rowOff>476250</xdr:rowOff>
                  </to>
                </anchor>
              </controlPr>
            </control>
          </mc:Choice>
        </mc:AlternateContent>
        <mc:AlternateContent xmlns:mc="http://schemas.openxmlformats.org/markup-compatibility/2006">
          <mc:Choice Requires="x14">
            <control shapeId="11274" r:id="rId9" name="Button 10">
              <controlPr defaultSize="0" print="0" autoFill="0" autoPict="0" macro="[0]!HojaOutsourcing">
                <anchor moveWithCells="1" sizeWithCells="1">
                  <from>
                    <xdr:col>9</xdr:col>
                    <xdr:colOff>962025</xdr:colOff>
                    <xdr:row>1</xdr:row>
                    <xdr:rowOff>76200</xdr:rowOff>
                  </from>
                  <to>
                    <xdr:col>9</xdr:col>
                    <xdr:colOff>2009775</xdr:colOff>
                    <xdr:row>1</xdr:row>
                    <xdr:rowOff>476250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F456E453-BD6E-4B82-87CE-B2870205ECD9}">
          <x14:formula1>
            <xm:f>Aux!$H$2:$H$3</xm:f>
          </x14:formula1>
          <xm:sqref>F19 F5:F17 F21:F28</xm:sqref>
        </x14:dataValidation>
        <x14:dataValidation type="list" allowBlank="1" showDropDown="1" showInputMessage="1" showErrorMessage="1" xr:uid="{0A079679-27A4-419B-977C-1F34B3A72112}">
          <x14:formula1>
            <xm:f>Aux!A1048576</xm:f>
          </x14:formula1>
          <xm:sqref>F18:K18</xm:sqref>
        </x14:dataValidation>
        <x14:dataValidation type="list" allowBlank="1" showDropDown="1" showInputMessage="1" showErrorMessage="1" xr:uid="{0C13DBC4-A462-4B06-B3D2-1E3759E27945}">
          <x14:formula1>
            <xm:f>Aux!F5</xm:f>
          </x14:formula1>
          <xm:sqref>F20:K20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33645A-DA26-4D13-962C-408E7FB361C6}">
  <sheetPr codeName="Hoja4"/>
  <dimension ref="A2:XFD100"/>
  <sheetViews>
    <sheetView topLeftCell="F1" zoomScaleNormal="100" workbookViewId="0">
      <pane ySplit="4" topLeftCell="A46" activePane="bottomLeft" state="frozen"/>
      <selection activeCell="E4" sqref="E4:G4"/>
      <selection pane="bottomLeft" activeCell="J5" sqref="J5:K46"/>
    </sheetView>
  </sheetViews>
  <sheetFormatPr baseColWidth="10" defaultColWidth="11.42578125" defaultRowHeight="15" x14ac:dyDescent="0.25"/>
  <cols>
    <col min="1" max="1" width="13.28515625" style="3" customWidth="1"/>
    <col min="2" max="3" width="11.42578125" style="3"/>
    <col min="4" max="4" width="13.7109375" style="3" customWidth="1"/>
    <col min="5" max="5" width="45.7109375" style="3" customWidth="1"/>
    <col min="6" max="9" width="13.85546875" style="3" customWidth="1"/>
    <col min="10" max="10" width="41.7109375" style="3" customWidth="1"/>
    <col min="11" max="11" width="48.7109375" style="3" customWidth="1"/>
    <col min="12" max="16384" width="11.42578125" style="3"/>
  </cols>
  <sheetData>
    <row r="2" spans="2:11 16384:16384" ht="46.5" customHeight="1" x14ac:dyDescent="0.25"/>
    <row r="3" spans="2:11 16384:16384" ht="19.5" customHeight="1" x14ac:dyDescent="0.3">
      <c r="B3" s="161" t="s">
        <v>147</v>
      </c>
      <c r="C3" s="161"/>
      <c r="D3" s="161"/>
      <c r="E3" s="161"/>
    </row>
    <row r="4" spans="2:11 16384:16384" ht="30" x14ac:dyDescent="0.25">
      <c r="B4" s="168" t="s">
        <v>148</v>
      </c>
      <c r="C4" s="168"/>
      <c r="D4" s="168"/>
      <c r="E4" s="8" t="s">
        <v>149</v>
      </c>
      <c r="F4" s="9" t="s">
        <v>150</v>
      </c>
      <c r="G4" s="9" t="s">
        <v>151</v>
      </c>
      <c r="H4" s="9" t="s">
        <v>152</v>
      </c>
      <c r="I4" s="9" t="s">
        <v>153</v>
      </c>
      <c r="J4" s="8" t="s">
        <v>154</v>
      </c>
      <c r="K4" s="8" t="s">
        <v>155</v>
      </c>
    </row>
    <row r="5" spans="2:11 16384:16384" ht="180" x14ac:dyDescent="0.3">
      <c r="B5" s="162" t="s">
        <v>156</v>
      </c>
      <c r="C5" s="165" t="s">
        <v>157</v>
      </c>
      <c r="D5" s="5" t="s">
        <v>158</v>
      </c>
      <c r="E5" s="115" t="s">
        <v>159</v>
      </c>
      <c r="F5" s="2"/>
      <c r="G5" s="2"/>
      <c r="H5" s="2"/>
      <c r="I5" s="2"/>
      <c r="J5" s="120"/>
      <c r="K5" s="120"/>
      <c r="XFD5" s="49" t="s">
        <v>157</v>
      </c>
    </row>
    <row r="6" spans="2:11 16384:16384" ht="165" x14ac:dyDescent="0.3">
      <c r="B6" s="163"/>
      <c r="C6" s="166"/>
      <c r="D6" s="7" t="s">
        <v>160</v>
      </c>
      <c r="E6" s="115" t="s">
        <v>161</v>
      </c>
      <c r="F6" s="2"/>
      <c r="G6" s="2"/>
      <c r="H6" s="2"/>
      <c r="I6" s="2"/>
      <c r="J6" s="120"/>
      <c r="K6" s="120"/>
      <c r="XFD6" s="49" t="s">
        <v>157</v>
      </c>
    </row>
    <row r="7" spans="2:11 16384:16384" ht="150" x14ac:dyDescent="0.3">
      <c r="B7" s="163"/>
      <c r="C7" s="166"/>
      <c r="D7" s="7" t="s">
        <v>162</v>
      </c>
      <c r="E7" s="115" t="s">
        <v>163</v>
      </c>
      <c r="F7" s="2"/>
      <c r="G7" s="2"/>
      <c r="H7" s="2"/>
      <c r="I7" s="2"/>
      <c r="J7" s="120"/>
      <c r="K7" s="120"/>
      <c r="XFD7" s="49" t="s">
        <v>157</v>
      </c>
    </row>
    <row r="8" spans="2:11 16384:16384" ht="135" x14ac:dyDescent="0.3">
      <c r="B8" s="163"/>
      <c r="C8" s="166"/>
      <c r="D8" s="7" t="s">
        <v>164</v>
      </c>
      <c r="E8" s="115" t="s">
        <v>165</v>
      </c>
      <c r="F8" s="2"/>
      <c r="G8" s="2"/>
      <c r="H8" s="2"/>
      <c r="I8" s="2"/>
      <c r="J8" s="120"/>
      <c r="K8" s="120"/>
      <c r="XFD8" s="49" t="s">
        <v>157</v>
      </c>
    </row>
    <row r="9" spans="2:11 16384:16384" ht="60" x14ac:dyDescent="0.3">
      <c r="B9" s="163"/>
      <c r="C9" s="166"/>
      <c r="D9" s="7" t="s">
        <v>166</v>
      </c>
      <c r="E9" s="115" t="s">
        <v>167</v>
      </c>
      <c r="F9" s="2"/>
      <c r="G9" s="2"/>
      <c r="H9" s="2"/>
      <c r="I9" s="2"/>
      <c r="J9" s="120"/>
      <c r="K9" s="120"/>
      <c r="XFD9" s="49" t="s">
        <v>157</v>
      </c>
    </row>
    <row r="10" spans="2:11 16384:16384" ht="75" x14ac:dyDescent="0.3">
      <c r="B10" s="163"/>
      <c r="C10" s="166"/>
      <c r="D10" s="7" t="s">
        <v>168</v>
      </c>
      <c r="E10" s="115" t="s">
        <v>169</v>
      </c>
      <c r="F10" s="2"/>
      <c r="G10" s="2"/>
      <c r="H10" s="2"/>
      <c r="I10" s="2"/>
      <c r="J10" s="120"/>
      <c r="K10" s="120"/>
      <c r="XFD10" s="49" t="s">
        <v>157</v>
      </c>
    </row>
    <row r="11" spans="2:11 16384:16384" ht="45" x14ac:dyDescent="0.3">
      <c r="B11" s="163"/>
      <c r="C11" s="166"/>
      <c r="D11" s="7" t="s">
        <v>170</v>
      </c>
      <c r="E11" s="115" t="s">
        <v>171</v>
      </c>
      <c r="F11" s="2"/>
      <c r="G11" s="2"/>
      <c r="H11" s="2"/>
      <c r="I11" s="2"/>
      <c r="J11" s="120"/>
      <c r="K11" s="120"/>
      <c r="XFD11" s="49" t="s">
        <v>157</v>
      </c>
    </row>
    <row r="12" spans="2:11 16384:16384" ht="75" x14ac:dyDescent="0.3">
      <c r="B12" s="163"/>
      <c r="C12" s="166"/>
      <c r="D12" s="7" t="s">
        <v>172</v>
      </c>
      <c r="E12" s="115" t="s">
        <v>173</v>
      </c>
      <c r="F12" s="2"/>
      <c r="G12" s="2"/>
      <c r="H12" s="2"/>
      <c r="I12" s="2"/>
      <c r="J12" s="120"/>
      <c r="K12" s="120"/>
      <c r="XFD12" s="49" t="s">
        <v>157</v>
      </c>
    </row>
    <row r="13" spans="2:11 16384:16384" ht="45" x14ac:dyDescent="0.3">
      <c r="B13" s="163"/>
      <c r="C13" s="166"/>
      <c r="D13" s="7" t="s">
        <v>174</v>
      </c>
      <c r="E13" s="115" t="s">
        <v>175</v>
      </c>
      <c r="F13" s="2"/>
      <c r="G13" s="2"/>
      <c r="H13" s="2"/>
      <c r="I13" s="2"/>
      <c r="J13" s="120"/>
      <c r="K13" s="120"/>
      <c r="XFD13" s="49" t="s">
        <v>157</v>
      </c>
    </row>
    <row r="14" spans="2:11 16384:16384" ht="135" x14ac:dyDescent="0.3">
      <c r="B14" s="163"/>
      <c r="C14" s="167"/>
      <c r="D14" s="7" t="s">
        <v>176</v>
      </c>
      <c r="E14" s="116" t="s">
        <v>177</v>
      </c>
      <c r="F14" s="2"/>
      <c r="G14" s="2"/>
      <c r="H14" s="2"/>
      <c r="I14" s="2"/>
      <c r="J14" s="120"/>
      <c r="K14" s="120"/>
      <c r="XFD14" s="49" t="s">
        <v>157</v>
      </c>
    </row>
    <row r="15" spans="2:11 16384:16384" ht="45" x14ac:dyDescent="0.3">
      <c r="B15" s="163"/>
      <c r="C15" s="165" t="s">
        <v>178</v>
      </c>
      <c r="D15" s="7" t="s">
        <v>179</v>
      </c>
      <c r="E15" s="115" t="s">
        <v>180</v>
      </c>
      <c r="F15" s="2"/>
      <c r="G15" s="2"/>
      <c r="H15" s="2"/>
      <c r="I15" s="2"/>
      <c r="J15" s="120"/>
      <c r="K15" s="120"/>
      <c r="XFD15" s="49" t="s">
        <v>178</v>
      </c>
    </row>
    <row r="16" spans="2:11 16384:16384" ht="195" x14ac:dyDescent="0.3">
      <c r="B16" s="163"/>
      <c r="C16" s="166"/>
      <c r="D16" s="7" t="s">
        <v>181</v>
      </c>
      <c r="E16" s="116" t="s">
        <v>208</v>
      </c>
      <c r="F16" s="2"/>
      <c r="G16" s="2"/>
      <c r="H16" s="2"/>
      <c r="I16" s="2"/>
      <c r="J16" s="120"/>
      <c r="K16" s="120"/>
      <c r="XFD16" s="49" t="s">
        <v>178</v>
      </c>
    </row>
    <row r="17" spans="2:11 16384:16384" ht="60" x14ac:dyDescent="0.3">
      <c r="B17" s="163"/>
      <c r="C17" s="166"/>
      <c r="D17" s="7" t="s">
        <v>209</v>
      </c>
      <c r="E17" s="115" t="s">
        <v>210</v>
      </c>
      <c r="F17" s="2"/>
      <c r="G17" s="2"/>
      <c r="H17" s="2"/>
      <c r="I17" s="2"/>
      <c r="J17" s="120"/>
      <c r="K17" s="120"/>
      <c r="XFD17" s="49" t="s">
        <v>178</v>
      </c>
    </row>
    <row r="18" spans="2:11 16384:16384" ht="45" x14ac:dyDescent="0.3">
      <c r="B18" s="164"/>
      <c r="C18" s="167"/>
      <c r="D18" s="7" t="s">
        <v>164</v>
      </c>
      <c r="E18" s="115" t="s">
        <v>183</v>
      </c>
      <c r="F18" s="2"/>
      <c r="G18" s="2"/>
      <c r="H18" s="2"/>
      <c r="I18" s="2"/>
      <c r="J18" s="120"/>
      <c r="K18" s="120"/>
      <c r="XFD18" s="49" t="s">
        <v>178</v>
      </c>
    </row>
    <row r="19" spans="2:11 16384:16384" ht="105" x14ac:dyDescent="0.3">
      <c r="B19" s="162" t="s">
        <v>184</v>
      </c>
      <c r="C19" s="165" t="s">
        <v>185</v>
      </c>
      <c r="D19" s="7" t="s">
        <v>186</v>
      </c>
      <c r="E19" s="115" t="s">
        <v>187</v>
      </c>
      <c r="F19" s="16"/>
      <c r="G19" s="16"/>
      <c r="H19" s="16"/>
      <c r="I19" s="16"/>
      <c r="J19" s="121"/>
      <c r="K19" s="121"/>
      <c r="XFD19" s="49" t="s">
        <v>185</v>
      </c>
    </row>
    <row r="20" spans="2:11 16384:16384" ht="105" x14ac:dyDescent="0.3">
      <c r="B20" s="163"/>
      <c r="C20" s="166"/>
      <c r="D20" s="7" t="s">
        <v>188</v>
      </c>
      <c r="E20" s="115" t="s">
        <v>189</v>
      </c>
      <c r="F20" s="2"/>
      <c r="G20" s="2"/>
      <c r="H20" s="2"/>
      <c r="I20" s="2"/>
      <c r="J20" s="120"/>
      <c r="K20" s="120"/>
      <c r="XFD20" s="49" t="s">
        <v>185</v>
      </c>
    </row>
    <row r="21" spans="2:11 16384:16384" ht="195" x14ac:dyDescent="0.3">
      <c r="B21" s="163"/>
      <c r="C21" s="166"/>
      <c r="D21" s="7" t="s">
        <v>211</v>
      </c>
      <c r="E21" s="115" t="s">
        <v>212</v>
      </c>
      <c r="F21" s="2"/>
      <c r="G21" s="2"/>
      <c r="H21" s="2"/>
      <c r="I21" s="2"/>
      <c r="J21" s="120"/>
      <c r="K21" s="120"/>
      <c r="XFD21" s="49" t="s">
        <v>185</v>
      </c>
    </row>
    <row r="22" spans="2:11 16384:16384" ht="105" x14ac:dyDescent="0.3">
      <c r="B22" s="163"/>
      <c r="C22" s="166"/>
      <c r="D22" s="7" t="s">
        <v>213</v>
      </c>
      <c r="E22" s="115" t="s">
        <v>214</v>
      </c>
      <c r="F22" s="2"/>
      <c r="G22" s="2"/>
      <c r="H22" s="2"/>
      <c r="I22" s="2"/>
      <c r="J22" s="120"/>
      <c r="K22" s="120"/>
      <c r="XFD22" s="49" t="s">
        <v>185</v>
      </c>
    </row>
    <row r="23" spans="2:11 16384:16384" ht="60" x14ac:dyDescent="0.3">
      <c r="B23" s="163"/>
      <c r="C23" s="166"/>
      <c r="D23" s="7" t="s">
        <v>166</v>
      </c>
      <c r="E23" s="115" t="s">
        <v>190</v>
      </c>
      <c r="F23" s="16"/>
      <c r="G23" s="16"/>
      <c r="H23" s="16"/>
      <c r="I23" s="16"/>
      <c r="J23" s="121"/>
      <c r="K23" s="121"/>
      <c r="XFD23" s="49" t="s">
        <v>185</v>
      </c>
    </row>
    <row r="24" spans="2:11 16384:16384" ht="210" x14ac:dyDescent="0.3">
      <c r="B24" s="163"/>
      <c r="C24" s="166"/>
      <c r="D24" s="7" t="s">
        <v>191</v>
      </c>
      <c r="E24" s="115" t="s">
        <v>192</v>
      </c>
      <c r="F24" s="2"/>
      <c r="G24" s="2"/>
      <c r="H24" s="2"/>
      <c r="I24" s="2"/>
      <c r="J24" s="120"/>
      <c r="K24" s="120"/>
      <c r="XFD24" s="49" t="s">
        <v>185</v>
      </c>
    </row>
    <row r="25" spans="2:11 16384:16384" ht="75" x14ac:dyDescent="0.3">
      <c r="B25" s="163"/>
      <c r="C25" s="166"/>
      <c r="D25" s="7" t="s">
        <v>193</v>
      </c>
      <c r="E25" s="115" t="s">
        <v>194</v>
      </c>
      <c r="F25" s="2"/>
      <c r="G25" s="2"/>
      <c r="H25" s="2"/>
      <c r="I25" s="2"/>
      <c r="J25" s="120"/>
      <c r="K25" s="120"/>
      <c r="XFD25" s="49" t="s">
        <v>185</v>
      </c>
    </row>
    <row r="26" spans="2:11 16384:16384" ht="150" x14ac:dyDescent="0.3">
      <c r="B26" s="163"/>
      <c r="C26" s="166"/>
      <c r="D26" s="7" t="s">
        <v>195</v>
      </c>
      <c r="E26" s="115" t="s">
        <v>196</v>
      </c>
      <c r="F26" s="2"/>
      <c r="G26" s="2"/>
      <c r="H26" s="2"/>
      <c r="I26" s="2"/>
      <c r="J26" s="120"/>
      <c r="K26" s="120"/>
      <c r="XFD26" s="49" t="s">
        <v>185</v>
      </c>
    </row>
    <row r="27" spans="2:11 16384:16384" ht="90" x14ac:dyDescent="0.3">
      <c r="B27" s="163"/>
      <c r="C27" s="166"/>
      <c r="D27" s="7" t="s">
        <v>197</v>
      </c>
      <c r="E27" s="115" t="s">
        <v>198</v>
      </c>
      <c r="F27" s="2"/>
      <c r="G27" s="2"/>
      <c r="H27" s="2"/>
      <c r="I27" s="2"/>
      <c r="J27" s="120"/>
      <c r="K27" s="120"/>
      <c r="XFD27" s="49" t="s">
        <v>185</v>
      </c>
    </row>
    <row r="28" spans="2:11 16384:16384" ht="210" x14ac:dyDescent="0.3">
      <c r="B28" s="163"/>
      <c r="C28" s="166"/>
      <c r="D28" s="7" t="s">
        <v>199</v>
      </c>
      <c r="E28" s="115" t="s">
        <v>200</v>
      </c>
      <c r="F28" s="2"/>
      <c r="G28" s="2"/>
      <c r="H28" s="2"/>
      <c r="I28" s="2"/>
      <c r="J28" s="120"/>
      <c r="K28" s="120"/>
      <c r="XFD28" s="49" t="s">
        <v>185</v>
      </c>
    </row>
    <row r="29" spans="2:11 16384:16384" ht="90" x14ac:dyDescent="0.3">
      <c r="B29" s="163"/>
      <c r="C29" s="166"/>
      <c r="D29" s="7" t="s">
        <v>201</v>
      </c>
      <c r="E29" s="115" t="s">
        <v>215</v>
      </c>
      <c r="F29" s="2"/>
      <c r="G29" s="2"/>
      <c r="H29" s="2"/>
      <c r="I29" s="2"/>
      <c r="J29" s="120"/>
      <c r="K29" s="120"/>
      <c r="XFD29" s="49" t="s">
        <v>185</v>
      </c>
    </row>
    <row r="30" spans="2:11 16384:16384" ht="90" x14ac:dyDescent="0.3">
      <c r="B30" s="163"/>
      <c r="C30" s="166"/>
      <c r="D30" s="7" t="s">
        <v>216</v>
      </c>
      <c r="E30" s="115" t="s">
        <v>217</v>
      </c>
      <c r="F30" s="2"/>
      <c r="G30" s="2"/>
      <c r="H30" s="2"/>
      <c r="I30" s="2"/>
      <c r="J30" s="120"/>
      <c r="K30" s="120"/>
      <c r="XFD30" s="49" t="s">
        <v>185</v>
      </c>
    </row>
    <row r="31" spans="2:11 16384:16384" ht="75" x14ac:dyDescent="0.3">
      <c r="B31" s="163"/>
      <c r="C31" s="166"/>
      <c r="D31" s="7" t="s">
        <v>218</v>
      </c>
      <c r="E31" s="117" t="s">
        <v>219</v>
      </c>
      <c r="F31" s="2"/>
      <c r="G31" s="2"/>
      <c r="H31" s="2"/>
      <c r="I31" s="2"/>
      <c r="J31" s="120"/>
      <c r="K31" s="120"/>
      <c r="XFD31" s="49" t="s">
        <v>185</v>
      </c>
    </row>
    <row r="32" spans="2:11 16384:16384" ht="45" x14ac:dyDescent="0.3">
      <c r="B32" s="163"/>
      <c r="C32" s="166"/>
      <c r="D32" s="7" t="s">
        <v>220</v>
      </c>
      <c r="E32" s="115" t="s">
        <v>221</v>
      </c>
      <c r="F32" s="2"/>
      <c r="G32" s="2"/>
      <c r="H32" s="2"/>
      <c r="I32" s="2"/>
      <c r="J32" s="120"/>
      <c r="K32" s="120"/>
      <c r="XFD32" s="49" t="s">
        <v>185</v>
      </c>
    </row>
    <row r="33" spans="2:11 16384:16384" ht="165" x14ac:dyDescent="0.3">
      <c r="B33" s="163"/>
      <c r="C33" s="166"/>
      <c r="D33" s="7" t="s">
        <v>222</v>
      </c>
      <c r="E33" s="115" t="s">
        <v>223</v>
      </c>
      <c r="F33" s="2"/>
      <c r="G33" s="2"/>
      <c r="H33" s="2"/>
      <c r="I33" s="2"/>
      <c r="J33" s="120"/>
      <c r="K33" s="120"/>
      <c r="XFD33" s="49" t="s">
        <v>185</v>
      </c>
    </row>
    <row r="34" spans="2:11 16384:16384" ht="165" x14ac:dyDescent="0.3">
      <c r="B34" s="163"/>
      <c r="C34" s="166"/>
      <c r="D34" s="7" t="s">
        <v>224</v>
      </c>
      <c r="E34" s="115" t="s">
        <v>225</v>
      </c>
      <c r="F34" s="2"/>
      <c r="G34" s="2"/>
      <c r="H34" s="2"/>
      <c r="I34" s="2"/>
      <c r="J34" s="120"/>
      <c r="K34" s="120"/>
      <c r="XFD34" s="49" t="s">
        <v>185</v>
      </c>
    </row>
    <row r="35" spans="2:11 16384:16384" ht="90" x14ac:dyDescent="0.3">
      <c r="B35" s="163"/>
      <c r="C35" s="166"/>
      <c r="D35" s="7" t="s">
        <v>226</v>
      </c>
      <c r="E35" s="117" t="s">
        <v>227</v>
      </c>
      <c r="F35" s="2"/>
      <c r="G35" s="2"/>
      <c r="H35" s="2"/>
      <c r="I35" s="2"/>
      <c r="J35" s="120"/>
      <c r="K35" s="120"/>
      <c r="XFD35" s="49" t="s">
        <v>185</v>
      </c>
    </row>
    <row r="36" spans="2:11 16384:16384" ht="60" x14ac:dyDescent="0.3">
      <c r="B36" s="163"/>
      <c r="C36" s="166"/>
      <c r="D36" s="7" t="s">
        <v>228</v>
      </c>
      <c r="E36" s="115" t="s">
        <v>229</v>
      </c>
      <c r="F36" s="2"/>
      <c r="G36" s="2"/>
      <c r="H36" s="2"/>
      <c r="I36" s="2"/>
      <c r="J36" s="120"/>
      <c r="K36" s="120"/>
      <c r="XFD36" s="49" t="s">
        <v>185</v>
      </c>
    </row>
    <row r="37" spans="2:11 16384:16384" ht="150" x14ac:dyDescent="0.3">
      <c r="B37" s="163"/>
      <c r="C37" s="166"/>
      <c r="D37" s="7" t="s">
        <v>230</v>
      </c>
      <c r="E37" s="115" t="s">
        <v>231</v>
      </c>
      <c r="F37" s="2"/>
      <c r="G37" s="2"/>
      <c r="H37" s="2"/>
      <c r="I37" s="2"/>
      <c r="J37" s="120"/>
      <c r="K37" s="120"/>
      <c r="XFD37" s="49" t="s">
        <v>185</v>
      </c>
    </row>
    <row r="38" spans="2:11 16384:16384" ht="120" x14ac:dyDescent="0.3">
      <c r="B38" s="163"/>
      <c r="C38" s="166"/>
      <c r="D38" s="7" t="s">
        <v>232</v>
      </c>
      <c r="E38" s="115" t="s">
        <v>233</v>
      </c>
      <c r="F38" s="2"/>
      <c r="G38" s="2"/>
      <c r="H38" s="2"/>
      <c r="I38" s="2"/>
      <c r="J38" s="120"/>
      <c r="K38" s="120"/>
      <c r="XFD38" s="49" t="s">
        <v>185</v>
      </c>
    </row>
    <row r="39" spans="2:11 16384:16384" ht="315" x14ac:dyDescent="0.3">
      <c r="B39" s="163"/>
      <c r="C39" s="166"/>
      <c r="D39" s="7" t="s">
        <v>234</v>
      </c>
      <c r="E39" s="115" t="s">
        <v>235</v>
      </c>
      <c r="F39" s="2"/>
      <c r="G39" s="2"/>
      <c r="H39" s="2"/>
      <c r="I39" s="2"/>
      <c r="J39" s="120"/>
      <c r="K39" s="120"/>
      <c r="XFD39" s="49" t="s">
        <v>185</v>
      </c>
    </row>
    <row r="40" spans="2:11 16384:16384" ht="120" x14ac:dyDescent="0.3">
      <c r="B40" s="163"/>
      <c r="C40" s="166"/>
      <c r="D40" s="7" t="s">
        <v>236</v>
      </c>
      <c r="E40" s="115" t="s">
        <v>237</v>
      </c>
      <c r="F40" s="2"/>
      <c r="G40" s="2"/>
      <c r="H40" s="2"/>
      <c r="I40" s="2"/>
      <c r="J40" s="120"/>
      <c r="K40" s="120"/>
      <c r="XFD40" s="49" t="s">
        <v>185</v>
      </c>
    </row>
    <row r="41" spans="2:11 16384:16384" ht="60" x14ac:dyDescent="0.3">
      <c r="B41" s="163"/>
      <c r="C41" s="166"/>
      <c r="D41" s="7" t="s">
        <v>238</v>
      </c>
      <c r="E41" s="117" t="s">
        <v>239</v>
      </c>
      <c r="F41" s="2"/>
      <c r="G41" s="2"/>
      <c r="H41" s="2"/>
      <c r="I41" s="2"/>
      <c r="J41" s="120"/>
      <c r="K41" s="120"/>
      <c r="XFD41" s="49" t="s">
        <v>185</v>
      </c>
    </row>
    <row r="42" spans="2:11 16384:16384" ht="45" x14ac:dyDescent="0.3">
      <c r="B42" s="163"/>
      <c r="C42" s="166"/>
      <c r="D42" s="7" t="s">
        <v>240</v>
      </c>
      <c r="E42" s="117" t="s">
        <v>241</v>
      </c>
      <c r="F42" s="2"/>
      <c r="G42" s="2"/>
      <c r="H42" s="2"/>
      <c r="I42" s="2"/>
      <c r="J42" s="120"/>
      <c r="K42" s="120"/>
      <c r="XFD42" s="49" t="s">
        <v>185</v>
      </c>
    </row>
    <row r="43" spans="2:11 16384:16384" ht="90" x14ac:dyDescent="0.3">
      <c r="B43" s="163"/>
      <c r="C43" s="166"/>
      <c r="D43" s="7" t="s">
        <v>242</v>
      </c>
      <c r="E43" s="117" t="s">
        <v>243</v>
      </c>
      <c r="F43" s="2"/>
      <c r="G43" s="2"/>
      <c r="H43" s="2"/>
      <c r="I43" s="2"/>
      <c r="J43" s="120"/>
      <c r="K43" s="120"/>
      <c r="XFD43" s="49" t="s">
        <v>185</v>
      </c>
    </row>
    <row r="44" spans="2:11 16384:16384" ht="45" x14ac:dyDescent="0.3">
      <c r="B44" s="163"/>
      <c r="C44" s="166"/>
      <c r="D44" s="7" t="s">
        <v>244</v>
      </c>
      <c r="E44" s="117" t="s">
        <v>245</v>
      </c>
      <c r="F44" s="2"/>
      <c r="G44" s="2"/>
      <c r="H44" s="2"/>
      <c r="I44" s="2"/>
      <c r="J44" s="120"/>
      <c r="K44" s="120"/>
      <c r="XFD44" s="49" t="s">
        <v>185</v>
      </c>
    </row>
    <row r="45" spans="2:11 16384:16384" ht="30" x14ac:dyDescent="0.3">
      <c r="B45" s="163"/>
      <c r="C45" s="166"/>
      <c r="D45" s="7" t="s">
        <v>246</v>
      </c>
      <c r="E45" s="117" t="s">
        <v>247</v>
      </c>
      <c r="F45" s="2"/>
      <c r="G45" s="2"/>
      <c r="H45" s="2"/>
      <c r="I45" s="2"/>
      <c r="J45" s="120"/>
      <c r="K45" s="120"/>
      <c r="XFD45" s="49" t="s">
        <v>185</v>
      </c>
    </row>
    <row r="46" spans="2:11 16384:16384" ht="270" x14ac:dyDescent="0.3">
      <c r="B46" s="164"/>
      <c r="C46" s="167"/>
      <c r="D46" s="7" t="s">
        <v>206</v>
      </c>
      <c r="E46" s="115" t="s">
        <v>248</v>
      </c>
      <c r="F46" s="2"/>
      <c r="G46" s="2"/>
      <c r="H46" s="2"/>
      <c r="I46" s="2"/>
      <c r="J46" s="120"/>
      <c r="K46" s="120"/>
      <c r="XFD46" s="49" t="s">
        <v>185</v>
      </c>
    </row>
    <row r="100" spans="1:1" x14ac:dyDescent="0.25">
      <c r="A100" s="3">
        <v>5</v>
      </c>
    </row>
  </sheetData>
  <mergeCells count="7">
    <mergeCell ref="B3:E3"/>
    <mergeCell ref="B4:D4"/>
    <mergeCell ref="B5:B18"/>
    <mergeCell ref="B19:B46"/>
    <mergeCell ref="C5:C14"/>
    <mergeCell ref="C15:C18"/>
    <mergeCell ref="C19:C46"/>
  </mergeCells>
  <hyperlinks>
    <hyperlink ref="E16" r:id="rId1" display="En caso de que los servicios o comisiones a contratar se refieran a la utilización de infraestructura tecnológica o de telecomunicaciones, el aviso deberá contener adicionalmente un informe técnico que especifique el tipo de operaciones o servicios bancarios que habrán de celebrarse utilizando la base tecnológica que le sea proveída por terceros o comisionistas, así como la forma en que se dará cumplimiento a los lineamientos mínimos de operación y seguridad, que se señalan en el Anexo 52 de las presentes disposiciones." xr:uid="{6BC57936-50B0-4D49-8622-B48EF2C27AA4}"/>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2289" r:id="rId5" name="Button 1">
              <controlPr defaultSize="0" print="0" autoFill="0" autoPict="0" macro="[0]!Limpia">
                <anchor moveWithCells="1" sizeWithCells="1">
                  <from>
                    <xdr:col>5</xdr:col>
                    <xdr:colOff>95250</xdr:colOff>
                    <xdr:row>1</xdr:row>
                    <xdr:rowOff>76200</xdr:rowOff>
                  </from>
                  <to>
                    <xdr:col>6</xdr:col>
                    <xdr:colOff>180975</xdr:colOff>
                    <xdr:row>1</xdr:row>
                    <xdr:rowOff>476250</xdr:rowOff>
                  </to>
                </anchor>
              </controlPr>
            </control>
          </mc:Choice>
        </mc:AlternateContent>
        <mc:AlternateContent xmlns:mc="http://schemas.openxmlformats.org/markup-compatibility/2006">
          <mc:Choice Requires="x14">
            <control shapeId="12292" r:id="rId6" name="Button 4">
              <controlPr defaultSize="0" print="0" autoFill="0" autoPict="0" macro="[0]!ContinuarAspectos">
                <anchor moveWithCells="1" sizeWithCells="1">
                  <from>
                    <xdr:col>8</xdr:col>
                    <xdr:colOff>733425</xdr:colOff>
                    <xdr:row>1</xdr:row>
                    <xdr:rowOff>76200</xdr:rowOff>
                  </from>
                  <to>
                    <xdr:col>9</xdr:col>
                    <xdr:colOff>819150</xdr:colOff>
                    <xdr:row>1</xdr:row>
                    <xdr:rowOff>476250</xdr:rowOff>
                  </to>
                </anchor>
              </controlPr>
            </control>
          </mc:Choice>
        </mc:AlternateContent>
        <mc:AlternateContent xmlns:mc="http://schemas.openxmlformats.org/markup-compatibility/2006">
          <mc:Choice Requires="x14">
            <control shapeId="12293" r:id="rId7" name="Button 5">
              <controlPr defaultSize="0" print="0" autoFill="0" autoPict="0" macro="[0]!Regresar">
                <anchor moveWithCells="1" sizeWithCells="1">
                  <from>
                    <xdr:col>6</xdr:col>
                    <xdr:colOff>304800</xdr:colOff>
                    <xdr:row>1</xdr:row>
                    <xdr:rowOff>76200</xdr:rowOff>
                  </from>
                  <to>
                    <xdr:col>7</xdr:col>
                    <xdr:colOff>390525</xdr:colOff>
                    <xdr:row>1</xdr:row>
                    <xdr:rowOff>476250</xdr:rowOff>
                  </to>
                </anchor>
              </controlPr>
            </control>
          </mc:Choice>
        </mc:AlternateContent>
        <mc:AlternateContent xmlns:mc="http://schemas.openxmlformats.org/markup-compatibility/2006">
          <mc:Choice Requires="x14">
            <control shapeId="12294" r:id="rId8" name="Button 6">
              <controlPr defaultSize="0" print="0" autoFill="0" autoPict="0" macro="[0]!Referencias">
                <anchor moveWithCells="1" sizeWithCells="1">
                  <from>
                    <xdr:col>7</xdr:col>
                    <xdr:colOff>514350</xdr:colOff>
                    <xdr:row>1</xdr:row>
                    <xdr:rowOff>76200</xdr:rowOff>
                  </from>
                  <to>
                    <xdr:col>8</xdr:col>
                    <xdr:colOff>600075</xdr:colOff>
                    <xdr:row>1</xdr:row>
                    <xdr:rowOff>476250</xdr:rowOff>
                  </to>
                </anchor>
              </controlPr>
            </control>
          </mc:Choice>
        </mc:AlternateContent>
        <mc:AlternateContent xmlns:mc="http://schemas.openxmlformats.org/markup-compatibility/2006">
          <mc:Choice Requires="x14">
            <control shapeId="12295" r:id="rId9" name="Button 7">
              <controlPr defaultSize="0" print="0" autoFill="0" autoPict="0" macro="[0]!HojaOutsourcing">
                <anchor moveWithCells="1" sizeWithCells="1">
                  <from>
                    <xdr:col>9</xdr:col>
                    <xdr:colOff>942975</xdr:colOff>
                    <xdr:row>1</xdr:row>
                    <xdr:rowOff>66675</xdr:rowOff>
                  </from>
                  <to>
                    <xdr:col>9</xdr:col>
                    <xdr:colOff>1990725</xdr:colOff>
                    <xdr:row>1</xdr:row>
                    <xdr:rowOff>466725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7F35D3AD-A4B5-4A67-BFAF-38A8F5D03682}">
          <x14:formula1>
            <xm:f>Aux!$H$2:$H$3</xm:f>
          </x14:formula1>
          <xm:sqref>F20:F22 F5:F18 F24:F46</xm:sqref>
        </x14:dataValidation>
        <x14:dataValidation type="list" allowBlank="1" showDropDown="1" showInputMessage="1" showErrorMessage="1" xr:uid="{E2B19701-81FE-4553-B5A8-76AC02D52C80}">
          <x14:formula1>
            <xm:f>Aux!A1</xm:f>
          </x14:formula1>
          <xm:sqref>F19:K19</xm:sqref>
        </x14:dataValidation>
        <x14:dataValidation type="list" allowBlank="1" showDropDown="1" showInputMessage="1" showErrorMessage="1" xr:uid="{72CC2301-5267-463B-9EB1-A830D8A9F02E}">
          <x14:formula1>
            <xm:f>Aux!F8</xm:f>
          </x14:formula1>
          <xm:sqref>F23:K23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A688FF-F285-4B93-AABA-6B6B7833A511}">
  <sheetPr codeName="Hoja15"/>
  <dimension ref="A1:R62"/>
  <sheetViews>
    <sheetView topLeftCell="G36" workbookViewId="0">
      <selection activeCell="P57" sqref="P57"/>
    </sheetView>
  </sheetViews>
  <sheetFormatPr baseColWidth="10" defaultColWidth="11.42578125" defaultRowHeight="15" x14ac:dyDescent="0.3"/>
  <cols>
    <col min="1" max="1" width="11.42578125" style="46"/>
    <col min="2" max="2" width="26.85546875" style="46" customWidth="1"/>
    <col min="3" max="5" width="11.42578125" style="46"/>
    <col min="6" max="6" width="24.140625" style="46" customWidth="1"/>
    <col min="7" max="15" width="11.42578125" style="46"/>
    <col min="16" max="16" width="78.140625" style="46" customWidth="1"/>
    <col min="17" max="16384" width="11.42578125" style="46"/>
  </cols>
  <sheetData>
    <row r="1" spans="1:18" x14ac:dyDescent="0.3">
      <c r="A1" s="46" t="s">
        <v>26</v>
      </c>
      <c r="B1" s="46" t="s">
        <v>249</v>
      </c>
      <c r="C1" s="46">
        <v>0</v>
      </c>
      <c r="D1" s="46" t="str" cm="1">
        <f t="array" ref="D1">_xlfn.IFS(C1&lt;10,_xlfn.CONCAT("00" &amp; C1),AND(C1&gt;9,C1&lt;100),_xlfn.CONCAT("0"&amp;C1),C1&gt;99,C1)</f>
        <v>000</v>
      </c>
      <c r="E1" s="46" t="s">
        <v>26</v>
      </c>
      <c r="F1" s="46" t="s">
        <v>250</v>
      </c>
      <c r="G1" s="46">
        <v>1</v>
      </c>
      <c r="H1" s="46" t="str" cm="1">
        <f t="array" ref="H1">_xlfn.IFS(G1&lt;10,_xlfn.CONCAT("00" &amp; G1),AND(G1&gt;9,G1&lt;100),_xlfn.CONCAT("0"&amp;G1),G1&gt;99,G1)</f>
        <v>001</v>
      </c>
      <c r="J1" s="46" t="s">
        <v>26</v>
      </c>
      <c r="K1" s="46" t="s">
        <v>251</v>
      </c>
      <c r="M1" s="46">
        <v>1</v>
      </c>
      <c r="O1" s="46" t="s">
        <v>26</v>
      </c>
      <c r="P1" s="46" t="s">
        <v>252</v>
      </c>
      <c r="Q1" s="46">
        <v>25</v>
      </c>
      <c r="R1" s="46" t="str" cm="1">
        <f t="array" ref="R1">_xlfn.IFS(Q1&lt;10,_xlfn.CONCAT("00" &amp; Q1),AND(Q1&gt;9,Q1&lt;100),_xlfn.CONCAT("0"&amp;Q1),Q1&gt;99,Q1)</f>
        <v>025</v>
      </c>
    </row>
    <row r="2" spans="1:18" x14ac:dyDescent="0.3">
      <c r="A2" s="46">
        <v>1</v>
      </c>
      <c r="B2" s="46" t="s">
        <v>253</v>
      </c>
      <c r="E2" s="46">
        <v>1</v>
      </c>
      <c r="F2" s="46" t="s">
        <v>254</v>
      </c>
      <c r="J2" s="46">
        <v>1</v>
      </c>
      <c r="K2" s="46" t="s">
        <v>255</v>
      </c>
      <c r="O2" s="46">
        <v>1</v>
      </c>
      <c r="P2" s="130" t="s">
        <v>256</v>
      </c>
    </row>
    <row r="3" spans="1:18" x14ac:dyDescent="0.3">
      <c r="A3" s="46">
        <v>2</v>
      </c>
      <c r="B3" s="46" t="s">
        <v>257</v>
      </c>
      <c r="E3" s="46">
        <v>2</v>
      </c>
      <c r="F3" s="46" t="s">
        <v>258</v>
      </c>
      <c r="J3" s="46">
        <v>2</v>
      </c>
      <c r="K3" s="46" t="s">
        <v>259</v>
      </c>
      <c r="O3" s="46">
        <v>2</v>
      </c>
      <c r="P3" s="130" t="s">
        <v>260</v>
      </c>
    </row>
    <row r="4" spans="1:18" x14ac:dyDescent="0.3">
      <c r="A4" s="46">
        <v>3</v>
      </c>
      <c r="B4" s="46" t="s">
        <v>261</v>
      </c>
      <c r="E4" s="46">
        <v>3</v>
      </c>
      <c r="F4" s="46" t="s">
        <v>262</v>
      </c>
      <c r="O4" s="46">
        <v>3</v>
      </c>
      <c r="P4" s="131" t="s">
        <v>263</v>
      </c>
    </row>
    <row r="5" spans="1:18" x14ac:dyDescent="0.3">
      <c r="A5" s="46">
        <v>4</v>
      </c>
      <c r="B5" s="46" t="s">
        <v>264</v>
      </c>
      <c r="E5" s="46">
        <v>4</v>
      </c>
      <c r="F5" s="46" t="s">
        <v>265</v>
      </c>
      <c r="O5" s="46">
        <v>4</v>
      </c>
      <c r="P5" s="130" t="s">
        <v>266</v>
      </c>
    </row>
    <row r="6" spans="1:18" x14ac:dyDescent="0.3">
      <c r="A6" s="46">
        <v>5</v>
      </c>
      <c r="B6" s="46" t="s">
        <v>267</v>
      </c>
      <c r="E6" s="46">
        <v>5</v>
      </c>
      <c r="F6" s="46" t="s">
        <v>268</v>
      </c>
      <c r="O6" s="46">
        <v>5</v>
      </c>
      <c r="P6" s="130" t="s">
        <v>269</v>
      </c>
      <c r="R6" s="129"/>
    </row>
    <row r="7" spans="1:18" ht="30" x14ac:dyDescent="0.3">
      <c r="A7" s="46">
        <v>6</v>
      </c>
      <c r="B7" s="46" t="s">
        <v>270</v>
      </c>
      <c r="E7" s="46">
        <v>6</v>
      </c>
      <c r="F7" s="46" t="s">
        <v>271</v>
      </c>
      <c r="O7" s="46">
        <v>6</v>
      </c>
      <c r="P7" s="134" t="s">
        <v>272</v>
      </c>
      <c r="R7" s="130"/>
    </row>
    <row r="8" spans="1:18" ht="45" x14ac:dyDescent="0.3">
      <c r="A8" s="46">
        <v>7</v>
      </c>
      <c r="B8" s="46" t="s">
        <v>273</v>
      </c>
      <c r="E8" s="46">
        <v>7</v>
      </c>
      <c r="F8" s="46" t="s">
        <v>274</v>
      </c>
      <c r="O8" s="46">
        <v>7</v>
      </c>
      <c r="P8" s="134" t="s">
        <v>275</v>
      </c>
      <c r="R8" s="131"/>
    </row>
    <row r="9" spans="1:18" x14ac:dyDescent="0.3">
      <c r="A9" s="46">
        <v>8</v>
      </c>
      <c r="B9" s="46" t="s">
        <v>276</v>
      </c>
      <c r="E9" s="46">
        <v>8</v>
      </c>
      <c r="F9" s="46" t="s">
        <v>277</v>
      </c>
      <c r="O9" s="46">
        <v>8</v>
      </c>
      <c r="P9" s="130" t="s">
        <v>278</v>
      </c>
      <c r="R9" s="129"/>
    </row>
    <row r="10" spans="1:18" x14ac:dyDescent="0.3">
      <c r="E10" s="46">
        <v>9</v>
      </c>
      <c r="F10" s="46" t="s">
        <v>279</v>
      </c>
      <c r="O10" s="46">
        <v>9</v>
      </c>
      <c r="P10" s="130" t="s">
        <v>280</v>
      </c>
      <c r="R10" s="129"/>
    </row>
    <row r="11" spans="1:18" x14ac:dyDescent="0.3">
      <c r="E11" s="46">
        <v>10</v>
      </c>
      <c r="F11" s="46" t="s">
        <v>281</v>
      </c>
      <c r="O11" s="46">
        <v>10</v>
      </c>
      <c r="P11" s="130" t="s">
        <v>282</v>
      </c>
      <c r="R11" s="132"/>
    </row>
    <row r="12" spans="1:18" x14ac:dyDescent="0.3">
      <c r="E12" s="46">
        <v>11</v>
      </c>
      <c r="F12" s="46" t="s">
        <v>283</v>
      </c>
      <c r="O12" s="46">
        <v>11</v>
      </c>
      <c r="P12" s="130" t="s">
        <v>284</v>
      </c>
      <c r="R12" s="132"/>
    </row>
    <row r="13" spans="1:18" x14ac:dyDescent="0.3">
      <c r="D13" s="46" t="s">
        <v>0</v>
      </c>
      <c r="O13" s="46">
        <v>12</v>
      </c>
      <c r="P13" s="130" t="s">
        <v>285</v>
      </c>
      <c r="R13" s="129"/>
    </row>
    <row r="14" spans="1:18" x14ac:dyDescent="0.3">
      <c r="O14" s="46">
        <v>13</v>
      </c>
      <c r="P14" s="130" t="s">
        <v>286</v>
      </c>
      <c r="R14" s="129"/>
    </row>
    <row r="15" spans="1:18" x14ac:dyDescent="0.3">
      <c r="O15" s="46">
        <v>14</v>
      </c>
      <c r="P15" s="130" t="s">
        <v>287</v>
      </c>
      <c r="R15" s="129"/>
    </row>
    <row r="16" spans="1:18" x14ac:dyDescent="0.3">
      <c r="O16" s="46">
        <v>15</v>
      </c>
      <c r="P16" s="130" t="s">
        <v>288</v>
      </c>
      <c r="R16" s="129"/>
    </row>
    <row r="17" spans="15:18" ht="45" x14ac:dyDescent="0.3">
      <c r="O17" s="46">
        <v>16</v>
      </c>
      <c r="P17" s="134" t="s">
        <v>289</v>
      </c>
      <c r="R17" s="129"/>
    </row>
    <row r="18" spans="15:18" ht="45" x14ac:dyDescent="0.3">
      <c r="O18" s="46">
        <v>17</v>
      </c>
      <c r="P18" s="134" t="s">
        <v>290</v>
      </c>
      <c r="R18" s="129"/>
    </row>
    <row r="19" spans="15:18" ht="30" x14ac:dyDescent="0.3">
      <c r="O19" s="46">
        <v>18</v>
      </c>
      <c r="P19" s="134" t="s">
        <v>291</v>
      </c>
      <c r="R19" s="129"/>
    </row>
    <row r="20" spans="15:18" ht="30" x14ac:dyDescent="0.3">
      <c r="O20" s="46">
        <v>19</v>
      </c>
      <c r="P20" s="134" t="s">
        <v>292</v>
      </c>
      <c r="R20" s="129"/>
    </row>
    <row r="21" spans="15:18" x14ac:dyDescent="0.3">
      <c r="O21" s="46">
        <v>20</v>
      </c>
      <c r="P21" s="134" t="s">
        <v>293</v>
      </c>
      <c r="R21" s="132"/>
    </row>
    <row r="22" spans="15:18" x14ac:dyDescent="0.3">
      <c r="O22" s="46">
        <v>21</v>
      </c>
      <c r="P22" s="134" t="s">
        <v>294</v>
      </c>
      <c r="R22" s="132"/>
    </row>
    <row r="23" spans="15:18" x14ac:dyDescent="0.3">
      <c r="O23" s="46">
        <v>22</v>
      </c>
      <c r="P23" s="134" t="s">
        <v>295</v>
      </c>
      <c r="R23" s="132"/>
    </row>
    <row r="24" spans="15:18" x14ac:dyDescent="0.3">
      <c r="O24" s="46">
        <v>23</v>
      </c>
      <c r="P24" s="134" t="s">
        <v>296</v>
      </c>
      <c r="R24" s="132"/>
    </row>
    <row r="25" spans="15:18" ht="30" x14ac:dyDescent="0.3">
      <c r="O25" s="46">
        <v>24</v>
      </c>
      <c r="P25" s="134" t="s">
        <v>297</v>
      </c>
      <c r="R25" s="132"/>
    </row>
    <row r="26" spans="15:18" ht="30" x14ac:dyDescent="0.3">
      <c r="O26" s="46">
        <v>25</v>
      </c>
      <c r="P26" s="134" t="s">
        <v>298</v>
      </c>
      <c r="R26" s="132"/>
    </row>
    <row r="27" spans="15:18" x14ac:dyDescent="0.3">
      <c r="O27" s="46">
        <v>26</v>
      </c>
      <c r="P27" s="134" t="s">
        <v>299</v>
      </c>
      <c r="R27" s="132"/>
    </row>
    <row r="28" spans="15:18" ht="45" x14ac:dyDescent="0.3">
      <c r="O28" s="46">
        <v>27</v>
      </c>
      <c r="P28" s="134" t="s">
        <v>300</v>
      </c>
      <c r="R28" s="132"/>
    </row>
    <row r="29" spans="15:18" x14ac:dyDescent="0.3">
      <c r="O29" s="46">
        <v>28</v>
      </c>
      <c r="P29" s="137" t="s">
        <v>301</v>
      </c>
      <c r="R29" s="132"/>
    </row>
    <row r="30" spans="15:18" x14ac:dyDescent="0.3">
      <c r="O30" s="46">
        <v>29</v>
      </c>
      <c r="P30" s="134" t="s">
        <v>302</v>
      </c>
      <c r="R30" s="132"/>
    </row>
    <row r="31" spans="15:18" x14ac:dyDescent="0.3">
      <c r="O31" s="46">
        <v>30</v>
      </c>
      <c r="P31" s="134" t="s">
        <v>303</v>
      </c>
      <c r="R31" s="132"/>
    </row>
    <row r="32" spans="15:18" x14ac:dyDescent="0.3">
      <c r="O32" s="46">
        <v>31</v>
      </c>
      <c r="P32" s="134" t="s">
        <v>304</v>
      </c>
      <c r="R32" s="132"/>
    </row>
    <row r="33" spans="15:18" x14ac:dyDescent="0.3">
      <c r="O33" s="46">
        <v>32</v>
      </c>
      <c r="P33" s="130" t="s">
        <v>305</v>
      </c>
      <c r="R33" s="133"/>
    </row>
    <row r="34" spans="15:18" x14ac:dyDescent="0.3">
      <c r="O34" s="46">
        <v>33</v>
      </c>
      <c r="P34" s="134" t="s">
        <v>306</v>
      </c>
      <c r="R34" s="132"/>
    </row>
    <row r="35" spans="15:18" ht="45" x14ac:dyDescent="0.3">
      <c r="O35" s="46">
        <v>34</v>
      </c>
      <c r="P35" s="134" t="s">
        <v>307</v>
      </c>
      <c r="R35" s="132"/>
    </row>
    <row r="36" spans="15:18" ht="30" x14ac:dyDescent="0.3">
      <c r="O36" s="46">
        <v>35</v>
      </c>
      <c r="P36" s="134" t="s">
        <v>308</v>
      </c>
      <c r="R36" s="132"/>
    </row>
    <row r="37" spans="15:18" x14ac:dyDescent="0.3">
      <c r="O37" s="46">
        <v>36</v>
      </c>
      <c r="P37" s="134" t="s">
        <v>309</v>
      </c>
      <c r="R37" s="129"/>
    </row>
    <row r="38" spans="15:18" x14ac:dyDescent="0.3">
      <c r="O38" s="46">
        <v>37</v>
      </c>
      <c r="P38" s="131" t="s">
        <v>310</v>
      </c>
      <c r="R38" s="134"/>
    </row>
    <row r="39" spans="15:18" x14ac:dyDescent="0.3">
      <c r="O39" s="46">
        <v>38</v>
      </c>
      <c r="P39" s="131" t="s">
        <v>311</v>
      </c>
      <c r="R39" s="132"/>
    </row>
    <row r="40" spans="15:18" x14ac:dyDescent="0.3">
      <c r="O40" s="46">
        <v>39</v>
      </c>
      <c r="P40" s="130" t="s">
        <v>312</v>
      </c>
      <c r="R40" s="132"/>
    </row>
    <row r="41" spans="15:18" x14ac:dyDescent="0.3">
      <c r="O41" s="46">
        <v>40</v>
      </c>
      <c r="P41" s="130" t="s">
        <v>313</v>
      </c>
      <c r="R41" s="132"/>
    </row>
    <row r="42" spans="15:18" x14ac:dyDescent="0.3">
      <c r="O42" s="46">
        <v>41</v>
      </c>
      <c r="P42" s="130" t="s">
        <v>314</v>
      </c>
      <c r="R42" s="135"/>
    </row>
    <row r="43" spans="15:18" x14ac:dyDescent="0.3">
      <c r="O43" s="46">
        <v>42</v>
      </c>
      <c r="P43" s="130" t="s">
        <v>315</v>
      </c>
      <c r="R43" s="135"/>
    </row>
    <row r="44" spans="15:18" x14ac:dyDescent="0.3">
      <c r="O44" s="46">
        <v>43</v>
      </c>
      <c r="P44" s="130" t="s">
        <v>316</v>
      </c>
      <c r="R44" s="129"/>
    </row>
    <row r="45" spans="15:18" x14ac:dyDescent="0.3">
      <c r="O45" s="46">
        <v>44</v>
      </c>
      <c r="P45" s="130" t="s">
        <v>317</v>
      </c>
      <c r="R45" s="129"/>
    </row>
    <row r="46" spans="15:18" ht="75" x14ac:dyDescent="0.3">
      <c r="O46" s="46">
        <v>45</v>
      </c>
      <c r="P46" s="134" t="s">
        <v>318</v>
      </c>
      <c r="R46" s="129"/>
    </row>
    <row r="47" spans="15:18" ht="30" x14ac:dyDescent="0.3">
      <c r="O47" s="46">
        <v>46</v>
      </c>
      <c r="P47" s="134" t="s">
        <v>319</v>
      </c>
      <c r="R47" s="129"/>
    </row>
    <row r="48" spans="15:18" ht="30" x14ac:dyDescent="0.3">
      <c r="O48" s="46">
        <v>47</v>
      </c>
      <c r="P48" s="134" t="s">
        <v>320</v>
      </c>
      <c r="R48" s="129"/>
    </row>
    <row r="49" spans="15:18" ht="30" x14ac:dyDescent="0.3">
      <c r="O49" s="46">
        <v>48</v>
      </c>
      <c r="P49" s="134" t="s">
        <v>321</v>
      </c>
      <c r="R49" s="129"/>
    </row>
    <row r="50" spans="15:18" x14ac:dyDescent="0.3">
      <c r="O50" s="46">
        <v>49</v>
      </c>
      <c r="P50" s="130" t="s">
        <v>322</v>
      </c>
      <c r="R50" s="132"/>
    </row>
    <row r="51" spans="15:18" x14ac:dyDescent="0.3">
      <c r="O51" s="46">
        <v>50</v>
      </c>
      <c r="P51" s="130" t="s">
        <v>323</v>
      </c>
      <c r="R51" s="132"/>
    </row>
    <row r="52" spans="15:18" x14ac:dyDescent="0.3">
      <c r="O52" s="46">
        <v>51</v>
      </c>
      <c r="P52" s="130" t="s">
        <v>324</v>
      </c>
      <c r="R52" s="132"/>
    </row>
    <row r="53" spans="15:18" x14ac:dyDescent="0.3">
      <c r="O53" s="46">
        <v>52</v>
      </c>
      <c r="P53" s="130" t="s">
        <v>325</v>
      </c>
      <c r="R53" s="132"/>
    </row>
    <row r="54" spans="15:18" x14ac:dyDescent="0.3">
      <c r="O54" s="46">
        <v>53</v>
      </c>
      <c r="P54" s="131" t="s">
        <v>326</v>
      </c>
      <c r="R54" s="136"/>
    </row>
    <row r="55" spans="15:18" x14ac:dyDescent="0.3">
      <c r="O55" s="46">
        <v>54</v>
      </c>
      <c r="P55" s="131" t="s">
        <v>327</v>
      </c>
      <c r="R55" s="136"/>
    </row>
    <row r="56" spans="15:18" x14ac:dyDescent="0.3">
      <c r="O56" s="46">
        <v>55</v>
      </c>
      <c r="P56" s="131" t="s">
        <v>328</v>
      </c>
      <c r="R56" s="136"/>
    </row>
    <row r="57" spans="15:18" x14ac:dyDescent="0.3">
      <c r="O57" s="46">
        <v>56</v>
      </c>
      <c r="P57" s="46" t="s">
        <v>329</v>
      </c>
      <c r="R57" s="136"/>
    </row>
    <row r="58" spans="15:18" x14ac:dyDescent="0.3">
      <c r="O58" s="46">
        <v>57</v>
      </c>
      <c r="P58" s="46" t="s">
        <v>330</v>
      </c>
      <c r="R58" s="135"/>
    </row>
    <row r="59" spans="15:18" x14ac:dyDescent="0.3">
      <c r="O59" s="46">
        <v>58</v>
      </c>
      <c r="P59" s="46" t="s">
        <v>331</v>
      </c>
      <c r="R59" s="135"/>
    </row>
    <row r="60" spans="15:18" x14ac:dyDescent="0.3">
      <c r="O60" s="46">
        <v>58</v>
      </c>
      <c r="P60" s="46" t="s">
        <v>332</v>
      </c>
      <c r="R60" s="135"/>
    </row>
    <row r="61" spans="15:18" x14ac:dyDescent="0.3">
      <c r="O61" s="46">
        <v>59</v>
      </c>
      <c r="P61" s="46" t="s">
        <v>333</v>
      </c>
    </row>
    <row r="62" spans="15:18" x14ac:dyDescent="0.3">
      <c r="O62" s="46">
        <v>60</v>
      </c>
      <c r="P62" s="46" t="s">
        <v>334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1930A1-7C5C-4FE1-89AA-BD372C1422A7}">
  <sheetPr codeName="Hoja20"/>
  <dimension ref="A1:K100"/>
  <sheetViews>
    <sheetView workbookViewId="0"/>
  </sheetViews>
  <sheetFormatPr baseColWidth="10" defaultColWidth="11.42578125" defaultRowHeight="18" x14ac:dyDescent="0.35"/>
  <cols>
    <col min="1" max="1" width="13.28515625" style="59" customWidth="1"/>
    <col min="2" max="2" width="4.140625" style="59" customWidth="1"/>
    <col min="3" max="3" width="51.28515625" style="59" bestFit="1" customWidth="1"/>
    <col min="4" max="6" width="13.85546875" style="59" customWidth="1"/>
    <col min="7" max="7" width="62.85546875" style="59" customWidth="1"/>
    <col min="8" max="8" width="4.140625" style="59" customWidth="1"/>
    <col min="9" max="16384" width="11.42578125" style="59"/>
  </cols>
  <sheetData>
    <row r="1" spans="2:11" ht="15" customHeight="1" x14ac:dyDescent="0.35">
      <c r="C1" s="172"/>
      <c r="D1" s="172"/>
      <c r="E1" s="172"/>
      <c r="F1" s="172"/>
      <c r="G1" s="172"/>
    </row>
    <row r="2" spans="2:11" ht="46.5" customHeight="1" x14ac:dyDescent="0.35">
      <c r="C2" s="60"/>
      <c r="D2" s="60"/>
      <c r="E2" s="60"/>
      <c r="F2" s="60"/>
      <c r="G2" s="60"/>
    </row>
    <row r="3" spans="2:11" ht="19.5" customHeight="1" thickBot="1" x14ac:dyDescent="0.4"/>
    <row r="4" spans="2:11" ht="18.75" thickTop="1" x14ac:dyDescent="0.35">
      <c r="B4" s="61"/>
      <c r="C4" s="62"/>
      <c r="D4" s="62"/>
      <c r="E4" s="62"/>
      <c r="F4" s="62"/>
      <c r="G4" s="62"/>
      <c r="H4" s="63"/>
    </row>
    <row r="5" spans="2:11" ht="21" thickBot="1" x14ac:dyDescent="0.4">
      <c r="B5" s="64"/>
      <c r="C5" s="65" t="s">
        <v>335</v>
      </c>
      <c r="H5" s="66"/>
    </row>
    <row r="6" spans="2:11" ht="18.75" thickTop="1" x14ac:dyDescent="0.35">
      <c r="B6" s="64"/>
      <c r="H6" s="66"/>
    </row>
    <row r="7" spans="2:11" ht="30" customHeight="1" x14ac:dyDescent="0.35">
      <c r="B7" s="64"/>
      <c r="C7" s="9"/>
      <c r="D7" s="9" t="s">
        <v>151</v>
      </c>
      <c r="E7" s="9" t="s">
        <v>152</v>
      </c>
      <c r="F7" s="9" t="s">
        <v>153</v>
      </c>
      <c r="G7" s="8" t="s">
        <v>154</v>
      </c>
      <c r="H7" s="66"/>
    </row>
    <row r="8" spans="2:11" ht="69.95" customHeight="1" x14ac:dyDescent="0.35">
      <c r="B8" s="64"/>
      <c r="C8" s="54" t="s">
        <v>336</v>
      </c>
      <c r="D8" s="82"/>
      <c r="E8" s="82"/>
      <c r="F8" s="82"/>
      <c r="G8" s="82"/>
      <c r="H8" s="66"/>
    </row>
    <row r="9" spans="2:11" ht="69.95" customHeight="1" x14ac:dyDescent="0.35">
      <c r="B9" s="64"/>
      <c r="C9" s="54" t="s">
        <v>337</v>
      </c>
      <c r="D9" s="82"/>
      <c r="E9" s="82"/>
      <c r="F9" s="82"/>
      <c r="G9" s="82"/>
      <c r="H9" s="66"/>
    </row>
    <row r="10" spans="2:11" ht="69.95" customHeight="1" x14ac:dyDescent="0.35">
      <c r="B10" s="64"/>
      <c r="C10" s="54" t="s">
        <v>338</v>
      </c>
      <c r="D10" s="82"/>
      <c r="E10" s="82"/>
      <c r="F10" s="82"/>
      <c r="G10" s="82"/>
      <c r="H10" s="66"/>
    </row>
    <row r="11" spans="2:11" ht="69.95" customHeight="1" x14ac:dyDescent="0.35">
      <c r="B11" s="64"/>
      <c r="C11" s="54" t="s">
        <v>339</v>
      </c>
      <c r="D11" s="82"/>
      <c r="E11" s="82"/>
      <c r="F11" s="82"/>
      <c r="G11" s="82"/>
      <c r="H11" s="66"/>
    </row>
    <row r="12" spans="2:11" s="85" customFormat="1" ht="20.25" customHeight="1" x14ac:dyDescent="0.35">
      <c r="B12" s="83"/>
      <c r="C12" s="34" t="s">
        <v>340</v>
      </c>
      <c r="D12" s="82"/>
      <c r="E12" s="82"/>
      <c r="F12" s="82"/>
      <c r="G12" s="82"/>
      <c r="H12" s="84"/>
    </row>
    <row r="13" spans="2:11" s="85" customFormat="1" ht="74.25" customHeight="1" x14ac:dyDescent="0.35">
      <c r="B13" s="83"/>
      <c r="C13" s="34" t="s">
        <v>341</v>
      </c>
      <c r="D13" s="55"/>
      <c r="E13" s="55"/>
      <c r="F13" s="55"/>
      <c r="G13" s="55"/>
      <c r="H13" s="84"/>
    </row>
    <row r="14" spans="2:11" ht="18.75" thickBot="1" x14ac:dyDescent="0.4">
      <c r="B14" s="67"/>
      <c r="C14" s="68"/>
      <c r="D14" s="68"/>
      <c r="E14" s="68"/>
      <c r="F14" s="68"/>
      <c r="G14" s="68"/>
      <c r="H14" s="69"/>
    </row>
    <row r="15" spans="2:11" ht="18.75" thickTop="1" x14ac:dyDescent="0.35"/>
    <row r="16" spans="2:11" x14ac:dyDescent="0.35">
      <c r="B16" s="3"/>
      <c r="C16" s="3"/>
      <c r="D16" s="3"/>
      <c r="E16" s="3"/>
      <c r="F16" s="3"/>
      <c r="G16" s="3"/>
      <c r="H16" s="3"/>
      <c r="I16" s="3"/>
      <c r="J16" s="3"/>
      <c r="K16" s="3"/>
    </row>
    <row r="17" spans="2:11" x14ac:dyDescent="0.35">
      <c r="B17" s="3"/>
      <c r="C17" s="3"/>
      <c r="D17" s="3"/>
      <c r="E17" s="3"/>
      <c r="F17" s="3"/>
      <c r="G17" s="3"/>
      <c r="H17" s="3"/>
      <c r="I17" s="3"/>
      <c r="J17" s="3"/>
      <c r="K17" s="3"/>
    </row>
    <row r="18" spans="2:11" ht="69.95" customHeight="1" x14ac:dyDescent="0.35">
      <c r="B18" s="3"/>
      <c r="C18" s="3"/>
      <c r="D18" s="3"/>
      <c r="E18" s="3"/>
      <c r="F18" s="3"/>
      <c r="G18" s="3"/>
      <c r="H18" s="3"/>
      <c r="I18" s="3"/>
      <c r="J18" s="3"/>
      <c r="K18" s="3"/>
    </row>
    <row r="19" spans="2:11" ht="69.95" customHeight="1" x14ac:dyDescent="0.35">
      <c r="B19" s="3"/>
      <c r="C19" s="3"/>
      <c r="D19" s="3"/>
      <c r="E19" s="3"/>
      <c r="F19" s="3"/>
      <c r="G19" s="3"/>
      <c r="H19" s="3"/>
      <c r="I19" s="3"/>
      <c r="J19" s="3"/>
      <c r="K19" s="3"/>
    </row>
    <row r="20" spans="2:11" ht="69.95" customHeight="1" x14ac:dyDescent="0.35">
      <c r="B20" s="3"/>
      <c r="C20" s="3"/>
      <c r="D20" s="3"/>
      <c r="E20" s="3"/>
      <c r="F20" s="3"/>
      <c r="G20" s="3"/>
      <c r="H20" s="3"/>
      <c r="I20" s="3"/>
      <c r="J20" s="3"/>
      <c r="K20" s="3"/>
    </row>
    <row r="21" spans="2:11" ht="69.95" customHeight="1" x14ac:dyDescent="0.35">
      <c r="B21" s="3"/>
      <c r="C21" s="3"/>
      <c r="D21" s="3"/>
      <c r="E21" s="3"/>
      <c r="F21" s="3"/>
      <c r="G21" s="3"/>
      <c r="H21" s="3"/>
      <c r="I21" s="3"/>
      <c r="J21" s="3"/>
      <c r="K21" s="3"/>
    </row>
    <row r="22" spans="2:11" ht="69.95" customHeight="1" x14ac:dyDescent="0.35">
      <c r="B22" s="3"/>
      <c r="C22" s="3"/>
      <c r="D22" s="3"/>
      <c r="E22" s="3"/>
      <c r="F22" s="3"/>
      <c r="G22" s="3"/>
      <c r="H22" s="3"/>
      <c r="I22" s="3"/>
      <c r="J22" s="3"/>
      <c r="K22" s="3"/>
    </row>
    <row r="23" spans="2:11" x14ac:dyDescent="0.35">
      <c r="B23" s="3"/>
      <c r="C23" s="3"/>
      <c r="D23" s="3"/>
      <c r="E23" s="3"/>
      <c r="F23" s="3"/>
      <c r="G23" s="3"/>
      <c r="H23" s="3"/>
      <c r="I23" s="3"/>
      <c r="J23" s="3"/>
      <c r="K23" s="3"/>
    </row>
    <row r="24" spans="2:11" x14ac:dyDescent="0.35">
      <c r="B24" s="3"/>
      <c r="C24" s="3"/>
      <c r="D24" s="3"/>
      <c r="E24" s="3"/>
      <c r="F24" s="3"/>
      <c r="G24" s="3"/>
      <c r="H24" s="3"/>
      <c r="I24" s="3"/>
      <c r="J24" s="3"/>
      <c r="K24" s="3"/>
    </row>
    <row r="25" spans="2:11" x14ac:dyDescent="0.35">
      <c r="B25" s="3"/>
      <c r="C25" s="3"/>
      <c r="D25" s="3"/>
      <c r="E25" s="3"/>
      <c r="F25" s="3"/>
      <c r="G25" s="3"/>
      <c r="H25" s="3"/>
      <c r="I25" s="3"/>
      <c r="J25" s="3"/>
      <c r="K25" s="3"/>
    </row>
    <row r="26" spans="2:11" x14ac:dyDescent="0.35">
      <c r="B26" s="3"/>
      <c r="C26" s="3"/>
      <c r="D26" s="3"/>
      <c r="E26" s="3"/>
      <c r="F26" s="3"/>
      <c r="G26" s="3"/>
      <c r="H26" s="3"/>
      <c r="I26" s="3"/>
      <c r="J26" s="3"/>
      <c r="K26" s="3"/>
    </row>
    <row r="27" spans="2:11" x14ac:dyDescent="0.35">
      <c r="B27" s="3"/>
      <c r="C27" s="3"/>
      <c r="D27" s="3"/>
      <c r="E27" s="3"/>
      <c r="F27" s="3"/>
      <c r="G27" s="3"/>
      <c r="H27" s="3"/>
      <c r="I27" s="3"/>
      <c r="J27" s="3"/>
      <c r="K27" s="3"/>
    </row>
    <row r="28" spans="2:11" x14ac:dyDescent="0.35">
      <c r="B28" s="3"/>
      <c r="C28" s="3"/>
      <c r="D28" s="3"/>
      <c r="E28" s="3"/>
      <c r="F28" s="3"/>
      <c r="G28" s="3"/>
      <c r="H28" s="3"/>
      <c r="I28" s="3"/>
      <c r="J28" s="3"/>
      <c r="K28" s="3"/>
    </row>
    <row r="29" spans="2:11" x14ac:dyDescent="0.35">
      <c r="B29" s="3"/>
      <c r="C29" s="3"/>
      <c r="D29" s="3"/>
      <c r="E29" s="3"/>
      <c r="F29" s="3"/>
      <c r="G29" s="3"/>
      <c r="H29" s="3"/>
      <c r="I29" s="3"/>
      <c r="J29" s="3"/>
      <c r="K29" s="3"/>
    </row>
    <row r="30" spans="2:11" x14ac:dyDescent="0.35">
      <c r="B30" s="3"/>
      <c r="C30" s="3"/>
      <c r="D30" s="3"/>
      <c r="E30" s="3"/>
      <c r="F30" s="3"/>
      <c r="G30" s="3"/>
      <c r="H30" s="3"/>
      <c r="I30" s="3"/>
      <c r="J30" s="3"/>
      <c r="K30" s="3"/>
    </row>
    <row r="31" spans="2:11" x14ac:dyDescent="0.35">
      <c r="B31" s="3"/>
      <c r="C31" s="3"/>
      <c r="D31" s="3"/>
      <c r="E31" s="3"/>
      <c r="F31" s="3"/>
      <c r="G31" s="3"/>
      <c r="H31" s="3"/>
      <c r="I31" s="3"/>
      <c r="J31" s="3"/>
      <c r="K31" s="3"/>
    </row>
    <row r="32" spans="2:11" x14ac:dyDescent="0.35">
      <c r="B32" s="3"/>
      <c r="C32" s="3"/>
      <c r="D32" s="3"/>
      <c r="E32" s="3"/>
      <c r="F32" s="3"/>
      <c r="G32" s="3"/>
      <c r="H32" s="3"/>
      <c r="I32" s="3"/>
      <c r="J32" s="3"/>
      <c r="K32" s="3"/>
    </row>
    <row r="33" spans="2:11" x14ac:dyDescent="0.35">
      <c r="B33" s="3"/>
      <c r="C33" s="3"/>
      <c r="D33" s="3"/>
      <c r="E33" s="3"/>
      <c r="F33" s="3"/>
      <c r="G33" s="3"/>
      <c r="H33" s="3"/>
      <c r="I33" s="3"/>
      <c r="J33" s="3"/>
      <c r="K33" s="3"/>
    </row>
    <row r="34" spans="2:11" ht="69.95" customHeight="1" x14ac:dyDescent="0.35">
      <c r="B34" s="3"/>
      <c r="C34" s="3"/>
      <c r="D34" s="3"/>
      <c r="E34" s="3"/>
      <c r="F34" s="3"/>
      <c r="G34" s="3"/>
      <c r="H34" s="3"/>
      <c r="I34" s="3"/>
      <c r="J34" s="3"/>
      <c r="K34" s="3"/>
    </row>
    <row r="35" spans="2:11" ht="69.95" customHeight="1" x14ac:dyDescent="0.35">
      <c r="B35" s="3"/>
      <c r="C35" s="3"/>
      <c r="D35" s="3"/>
      <c r="E35" s="3"/>
      <c r="F35" s="3"/>
      <c r="G35" s="3"/>
      <c r="H35" s="3"/>
      <c r="I35" s="3"/>
      <c r="J35" s="3"/>
      <c r="K35" s="3"/>
    </row>
    <row r="36" spans="2:11" ht="69.95" customHeight="1" x14ac:dyDescent="0.35">
      <c r="B36" s="3"/>
      <c r="C36" s="3"/>
      <c r="D36" s="3"/>
      <c r="E36" s="3"/>
      <c r="F36" s="3"/>
      <c r="G36" s="3"/>
      <c r="H36" s="3"/>
      <c r="I36" s="3"/>
      <c r="J36" s="3"/>
      <c r="K36" s="3"/>
    </row>
    <row r="37" spans="2:11" x14ac:dyDescent="0.35">
      <c r="B37" s="3"/>
      <c r="C37" s="3"/>
      <c r="D37" s="3"/>
      <c r="E37" s="3"/>
      <c r="F37" s="3"/>
      <c r="G37" s="3"/>
      <c r="H37" s="3"/>
      <c r="I37" s="3"/>
      <c r="J37" s="3"/>
      <c r="K37" s="3"/>
    </row>
    <row r="38" spans="2:11" x14ac:dyDescent="0.35">
      <c r="C38" s="3"/>
    </row>
    <row r="39" spans="2:11" x14ac:dyDescent="0.35">
      <c r="C39" s="3"/>
    </row>
    <row r="40" spans="2:11" x14ac:dyDescent="0.35">
      <c r="C40" s="3"/>
    </row>
    <row r="41" spans="2:11" x14ac:dyDescent="0.35">
      <c r="C41" s="3"/>
    </row>
    <row r="100" spans="1:1" x14ac:dyDescent="0.35">
      <c r="A100" s="59">
        <v>12</v>
      </c>
    </row>
  </sheetData>
  <mergeCells count="1">
    <mergeCell ref="C1:G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64" r:id="rId3" name="Button 4">
              <controlPr defaultSize="0" print="0" autoFill="0" autoPict="0" macro="[0]!Limpia">
                <anchor moveWithCells="1" sizeWithCells="1">
                  <from>
                    <xdr:col>4</xdr:col>
                    <xdr:colOff>152400</xdr:colOff>
                    <xdr:row>1</xdr:row>
                    <xdr:rowOff>95250</xdr:rowOff>
                  </from>
                  <to>
                    <xdr:col>5</xdr:col>
                    <xdr:colOff>238125</xdr:colOff>
                    <xdr:row>1</xdr:row>
                    <xdr:rowOff>495300</xdr:rowOff>
                  </to>
                </anchor>
              </controlPr>
            </control>
          </mc:Choice>
        </mc:AlternateContent>
        <mc:AlternateContent xmlns:mc="http://schemas.openxmlformats.org/markup-compatibility/2006">
          <mc:Choice Requires="x14">
            <control shapeId="92165" r:id="rId4" name="Button 5">
              <controlPr defaultSize="0" print="0" autoFill="0" autoPict="0" macro="[0]!Regresar">
                <anchor moveWithCells="1" sizeWithCells="1">
                  <from>
                    <xdr:col>5</xdr:col>
                    <xdr:colOff>561975</xdr:colOff>
                    <xdr:row>1</xdr:row>
                    <xdr:rowOff>95250</xdr:rowOff>
                  </from>
                  <to>
                    <xdr:col>6</xdr:col>
                    <xdr:colOff>647700</xdr:colOff>
                    <xdr:row>1</xdr:row>
                    <xdr:rowOff>495300</xdr:rowOff>
                  </to>
                </anchor>
              </controlPr>
            </control>
          </mc:Choice>
        </mc:AlternateContent>
        <mc:AlternateContent xmlns:mc="http://schemas.openxmlformats.org/markup-compatibility/2006">
          <mc:Choice Requires="x14">
            <control shapeId="92166" r:id="rId5" name="Button 6">
              <controlPr defaultSize="0" print="0" autoFill="0" autoPict="0" macro="[0]!Evaluacion">
                <anchor moveWithCells="1" sizeWithCells="1">
                  <from>
                    <xdr:col>6</xdr:col>
                    <xdr:colOff>971550</xdr:colOff>
                    <xdr:row>1</xdr:row>
                    <xdr:rowOff>95250</xdr:rowOff>
                  </from>
                  <to>
                    <xdr:col>6</xdr:col>
                    <xdr:colOff>1981200</xdr:colOff>
                    <xdr:row>1</xdr:row>
                    <xdr:rowOff>495300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F19023-3D5B-4E5F-8D5E-64756AB10117}">
  <sheetPr codeName="Hoja12"/>
  <dimension ref="A2:C100"/>
  <sheetViews>
    <sheetView zoomScaleNormal="100" workbookViewId="0">
      <pane ySplit="6" topLeftCell="A7" activePane="bottomLeft" state="frozen"/>
      <selection activeCell="E4" sqref="E4:G4"/>
      <selection pane="bottomLeft" activeCell="C7" sqref="C7"/>
    </sheetView>
  </sheetViews>
  <sheetFormatPr baseColWidth="10" defaultColWidth="11.42578125" defaultRowHeight="15" x14ac:dyDescent="0.25"/>
  <cols>
    <col min="1" max="1" width="24" style="3" customWidth="1"/>
    <col min="2" max="2" width="74.85546875" style="6" customWidth="1"/>
    <col min="3" max="3" width="14.140625" style="3" customWidth="1"/>
    <col min="4" max="16384" width="11.42578125" style="3"/>
  </cols>
  <sheetData>
    <row r="2" spans="2:3" ht="46.5" customHeight="1" x14ac:dyDescent="0.25">
      <c r="B2" s="100" t="s">
        <v>342</v>
      </c>
    </row>
    <row r="4" spans="2:3" ht="15" customHeight="1" x14ac:dyDescent="0.25"/>
    <row r="6" spans="2:3" ht="60" customHeight="1" x14ac:dyDescent="0.25">
      <c r="B6" s="9" t="s">
        <v>343</v>
      </c>
      <c r="C6" s="9" t="s">
        <v>344</v>
      </c>
    </row>
    <row r="7" spans="2:3" ht="45" x14ac:dyDescent="0.3">
      <c r="B7" s="115" t="s">
        <v>345</v>
      </c>
      <c r="C7" s="4"/>
    </row>
    <row r="8" spans="2:3" ht="90" x14ac:dyDescent="0.3">
      <c r="B8" s="115" t="s">
        <v>346</v>
      </c>
      <c r="C8" s="4"/>
    </row>
    <row r="9" spans="2:3" ht="195" x14ac:dyDescent="0.3">
      <c r="B9" s="115" t="s">
        <v>347</v>
      </c>
      <c r="C9" s="4"/>
    </row>
    <row r="10" spans="2:3" ht="180" x14ac:dyDescent="0.3">
      <c r="B10" s="115" t="s">
        <v>348</v>
      </c>
      <c r="C10" s="4"/>
    </row>
    <row r="11" spans="2:3" ht="105" x14ac:dyDescent="0.3">
      <c r="B11" s="115" t="s">
        <v>349</v>
      </c>
      <c r="C11" s="4"/>
    </row>
    <row r="12" spans="2:3" ht="15.75" x14ac:dyDescent="0.3">
      <c r="B12" s="115" t="s">
        <v>350</v>
      </c>
      <c r="C12" s="4"/>
    </row>
    <row r="13" spans="2:3" ht="75" x14ac:dyDescent="0.3">
      <c r="B13" s="115" t="s">
        <v>351</v>
      </c>
      <c r="C13" s="4"/>
    </row>
    <row r="14" spans="2:3" ht="75" x14ac:dyDescent="0.3">
      <c r="B14" s="115" t="s">
        <v>352</v>
      </c>
      <c r="C14" s="4"/>
    </row>
    <row r="15" spans="2:3" ht="150" x14ac:dyDescent="0.3">
      <c r="B15" s="115" t="s">
        <v>353</v>
      </c>
      <c r="C15" s="4"/>
    </row>
    <row r="16" spans="2:3" ht="45" x14ac:dyDescent="0.3">
      <c r="B16" s="115" t="s">
        <v>354</v>
      </c>
      <c r="C16" s="4"/>
    </row>
    <row r="17" spans="2:3" ht="45" x14ac:dyDescent="0.3">
      <c r="B17" s="115" t="s">
        <v>355</v>
      </c>
      <c r="C17" s="4"/>
    </row>
    <row r="18" spans="2:3" ht="30" x14ac:dyDescent="0.3">
      <c r="B18" s="115" t="s">
        <v>356</v>
      </c>
      <c r="C18" s="4"/>
    </row>
    <row r="19" spans="2:3" ht="45" x14ac:dyDescent="0.3">
      <c r="B19" s="115" t="s">
        <v>357</v>
      </c>
      <c r="C19" s="4"/>
    </row>
    <row r="20" spans="2:3" ht="75" x14ac:dyDescent="0.3">
      <c r="B20" s="115" t="s">
        <v>358</v>
      </c>
      <c r="C20" s="4"/>
    </row>
    <row r="21" spans="2:3" ht="75" x14ac:dyDescent="0.3">
      <c r="B21" s="115" t="s">
        <v>359</v>
      </c>
      <c r="C21" s="4"/>
    </row>
    <row r="22" spans="2:3" ht="45" x14ac:dyDescent="0.3">
      <c r="B22" s="115" t="s">
        <v>360</v>
      </c>
      <c r="C22" s="4"/>
    </row>
    <row r="23" spans="2:3" ht="150" x14ac:dyDescent="0.3">
      <c r="B23" s="115" t="s">
        <v>361</v>
      </c>
      <c r="C23" s="4"/>
    </row>
    <row r="100" spans="1:1" x14ac:dyDescent="0.25">
      <c r="A100" s="3">
        <v>2</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Check Box 1">
              <controlPr defaultSize="0" autoFill="0" autoLine="0" autoPict="0">
                <anchor moveWithCells="1">
                  <from>
                    <xdr:col>2</xdr:col>
                    <xdr:colOff>390525</xdr:colOff>
                    <xdr:row>6</xdr:row>
                    <xdr:rowOff>142875</xdr:rowOff>
                  </from>
                  <to>
                    <xdr:col>2</xdr:col>
                    <xdr:colOff>790575</xdr:colOff>
                    <xdr:row>6</xdr:row>
                    <xdr:rowOff>447675</xdr:rowOff>
                  </to>
                </anchor>
              </controlPr>
            </control>
          </mc:Choice>
        </mc:AlternateContent>
        <mc:AlternateContent xmlns:mc="http://schemas.openxmlformats.org/markup-compatibility/2006">
          <mc:Choice Requires="x14">
            <control shapeId="8195" r:id="rId5" name="Check Box 3">
              <controlPr defaultSize="0" autoFill="0" autoLine="0" autoPict="0">
                <anchor moveWithCells="1">
                  <from>
                    <xdr:col>2</xdr:col>
                    <xdr:colOff>390525</xdr:colOff>
                    <xdr:row>7</xdr:row>
                    <xdr:rowOff>381000</xdr:rowOff>
                  </from>
                  <to>
                    <xdr:col>2</xdr:col>
                    <xdr:colOff>847725</xdr:colOff>
                    <xdr:row>7</xdr:row>
                    <xdr:rowOff>695325</xdr:rowOff>
                  </to>
                </anchor>
              </controlPr>
            </control>
          </mc:Choice>
        </mc:AlternateContent>
        <mc:AlternateContent xmlns:mc="http://schemas.openxmlformats.org/markup-compatibility/2006">
          <mc:Choice Requires="x14">
            <control shapeId="8196" r:id="rId6" name="Check Box 4">
              <controlPr defaultSize="0" autoFill="0" autoLine="0" autoPict="0">
                <anchor moveWithCells="1">
                  <from>
                    <xdr:col>2</xdr:col>
                    <xdr:colOff>390525</xdr:colOff>
                    <xdr:row>8</xdr:row>
                    <xdr:rowOff>952500</xdr:rowOff>
                  </from>
                  <to>
                    <xdr:col>2</xdr:col>
                    <xdr:colOff>895350</xdr:colOff>
                    <xdr:row>8</xdr:row>
                    <xdr:rowOff>1257300</xdr:rowOff>
                  </to>
                </anchor>
              </controlPr>
            </control>
          </mc:Choice>
        </mc:AlternateContent>
        <mc:AlternateContent xmlns:mc="http://schemas.openxmlformats.org/markup-compatibility/2006">
          <mc:Choice Requires="x14">
            <control shapeId="8197" r:id="rId7" name="Check Box 5">
              <controlPr defaultSize="0" autoFill="0" autoLine="0" autoPict="0">
                <anchor moveWithCells="1">
                  <from>
                    <xdr:col>2</xdr:col>
                    <xdr:colOff>390525</xdr:colOff>
                    <xdr:row>9</xdr:row>
                    <xdr:rowOff>885825</xdr:rowOff>
                  </from>
                  <to>
                    <xdr:col>2</xdr:col>
                    <xdr:colOff>895350</xdr:colOff>
                    <xdr:row>9</xdr:row>
                    <xdr:rowOff>1190625</xdr:rowOff>
                  </to>
                </anchor>
              </controlPr>
            </control>
          </mc:Choice>
        </mc:AlternateContent>
        <mc:AlternateContent xmlns:mc="http://schemas.openxmlformats.org/markup-compatibility/2006">
          <mc:Choice Requires="x14">
            <control shapeId="8198" r:id="rId8" name="Check Box 6">
              <controlPr defaultSize="0" autoFill="0" autoLine="0" autoPict="0">
                <anchor moveWithCells="1">
                  <from>
                    <xdr:col>2</xdr:col>
                    <xdr:colOff>390525</xdr:colOff>
                    <xdr:row>10</xdr:row>
                    <xdr:rowOff>533400</xdr:rowOff>
                  </from>
                  <to>
                    <xdr:col>2</xdr:col>
                    <xdr:colOff>895350</xdr:colOff>
                    <xdr:row>10</xdr:row>
                    <xdr:rowOff>838200</xdr:rowOff>
                  </to>
                </anchor>
              </controlPr>
            </control>
          </mc:Choice>
        </mc:AlternateContent>
        <mc:AlternateContent xmlns:mc="http://schemas.openxmlformats.org/markup-compatibility/2006">
          <mc:Choice Requires="x14">
            <control shapeId="8199" r:id="rId9" name="Check Box 7">
              <controlPr defaultSize="0" autoFill="0" autoLine="0" autoPict="0">
                <anchor moveWithCells="1">
                  <from>
                    <xdr:col>2</xdr:col>
                    <xdr:colOff>390525</xdr:colOff>
                    <xdr:row>10</xdr:row>
                    <xdr:rowOff>1276350</xdr:rowOff>
                  </from>
                  <to>
                    <xdr:col>2</xdr:col>
                    <xdr:colOff>895350</xdr:colOff>
                    <xdr:row>12</xdr:row>
                    <xdr:rowOff>47625</xdr:rowOff>
                  </to>
                </anchor>
              </controlPr>
            </control>
          </mc:Choice>
        </mc:AlternateContent>
        <mc:AlternateContent xmlns:mc="http://schemas.openxmlformats.org/markup-compatibility/2006">
          <mc:Choice Requires="x14">
            <control shapeId="8200" r:id="rId10" name="Check Box 8">
              <controlPr defaultSize="0" autoFill="0" autoLine="0" autoPict="0">
                <anchor moveWithCells="1">
                  <from>
                    <xdr:col>2</xdr:col>
                    <xdr:colOff>390525</xdr:colOff>
                    <xdr:row>12</xdr:row>
                    <xdr:rowOff>323850</xdr:rowOff>
                  </from>
                  <to>
                    <xdr:col>2</xdr:col>
                    <xdr:colOff>895350</xdr:colOff>
                    <xdr:row>12</xdr:row>
                    <xdr:rowOff>628650</xdr:rowOff>
                  </to>
                </anchor>
              </controlPr>
            </control>
          </mc:Choice>
        </mc:AlternateContent>
        <mc:AlternateContent xmlns:mc="http://schemas.openxmlformats.org/markup-compatibility/2006">
          <mc:Choice Requires="x14">
            <control shapeId="8201" r:id="rId11" name="Check Box 9">
              <controlPr defaultSize="0" autoFill="0" autoLine="0" autoPict="0">
                <anchor moveWithCells="1">
                  <from>
                    <xdr:col>2</xdr:col>
                    <xdr:colOff>390525</xdr:colOff>
                    <xdr:row>13</xdr:row>
                    <xdr:rowOff>333375</xdr:rowOff>
                  </from>
                  <to>
                    <xdr:col>2</xdr:col>
                    <xdr:colOff>895350</xdr:colOff>
                    <xdr:row>13</xdr:row>
                    <xdr:rowOff>638175</xdr:rowOff>
                  </to>
                </anchor>
              </controlPr>
            </control>
          </mc:Choice>
        </mc:AlternateContent>
        <mc:AlternateContent xmlns:mc="http://schemas.openxmlformats.org/markup-compatibility/2006">
          <mc:Choice Requires="x14">
            <control shapeId="8202" r:id="rId12" name="Check Box 10">
              <controlPr defaultSize="0" autoFill="0" autoLine="0" autoPict="0">
                <anchor moveWithCells="1">
                  <from>
                    <xdr:col>2</xdr:col>
                    <xdr:colOff>390525</xdr:colOff>
                    <xdr:row>14</xdr:row>
                    <xdr:rowOff>857250</xdr:rowOff>
                  </from>
                  <to>
                    <xdr:col>2</xdr:col>
                    <xdr:colOff>895350</xdr:colOff>
                    <xdr:row>14</xdr:row>
                    <xdr:rowOff>1162050</xdr:rowOff>
                  </to>
                </anchor>
              </controlPr>
            </control>
          </mc:Choice>
        </mc:AlternateContent>
        <mc:AlternateContent xmlns:mc="http://schemas.openxmlformats.org/markup-compatibility/2006">
          <mc:Choice Requires="x14">
            <control shapeId="8203" r:id="rId13" name="Check Box 11">
              <controlPr defaultSize="0" autoFill="0" autoLine="0" autoPict="0">
                <anchor moveWithCells="1">
                  <from>
                    <xdr:col>2</xdr:col>
                    <xdr:colOff>390525</xdr:colOff>
                    <xdr:row>15</xdr:row>
                    <xdr:rowOff>161925</xdr:rowOff>
                  </from>
                  <to>
                    <xdr:col>2</xdr:col>
                    <xdr:colOff>895350</xdr:colOff>
                    <xdr:row>15</xdr:row>
                    <xdr:rowOff>466725</xdr:rowOff>
                  </to>
                </anchor>
              </controlPr>
            </control>
          </mc:Choice>
        </mc:AlternateContent>
        <mc:AlternateContent xmlns:mc="http://schemas.openxmlformats.org/markup-compatibility/2006">
          <mc:Choice Requires="x14">
            <control shapeId="8204" r:id="rId14" name="Check Box 12">
              <controlPr defaultSize="0" autoFill="0" autoLine="0" autoPict="0">
                <anchor moveWithCells="1">
                  <from>
                    <xdr:col>2</xdr:col>
                    <xdr:colOff>390525</xdr:colOff>
                    <xdr:row>16</xdr:row>
                    <xdr:rowOff>152400</xdr:rowOff>
                  </from>
                  <to>
                    <xdr:col>2</xdr:col>
                    <xdr:colOff>895350</xdr:colOff>
                    <xdr:row>16</xdr:row>
                    <xdr:rowOff>457200</xdr:rowOff>
                  </to>
                </anchor>
              </controlPr>
            </control>
          </mc:Choice>
        </mc:AlternateContent>
        <mc:AlternateContent xmlns:mc="http://schemas.openxmlformats.org/markup-compatibility/2006">
          <mc:Choice Requires="x14">
            <control shapeId="8205" r:id="rId15" name="Check Box 13">
              <controlPr defaultSize="0" autoFill="0" autoLine="0" autoPict="0">
                <anchor moveWithCells="1">
                  <from>
                    <xdr:col>2</xdr:col>
                    <xdr:colOff>390525</xdr:colOff>
                    <xdr:row>17</xdr:row>
                    <xdr:rowOff>47625</xdr:rowOff>
                  </from>
                  <to>
                    <xdr:col>2</xdr:col>
                    <xdr:colOff>895350</xdr:colOff>
                    <xdr:row>17</xdr:row>
                    <xdr:rowOff>352425</xdr:rowOff>
                  </to>
                </anchor>
              </controlPr>
            </control>
          </mc:Choice>
        </mc:AlternateContent>
        <mc:AlternateContent xmlns:mc="http://schemas.openxmlformats.org/markup-compatibility/2006">
          <mc:Choice Requires="x14">
            <control shapeId="8206" r:id="rId16" name="Check Box 14">
              <controlPr defaultSize="0" autoFill="0" autoLine="0" autoPict="0">
                <anchor moveWithCells="1">
                  <from>
                    <xdr:col>2</xdr:col>
                    <xdr:colOff>390525</xdr:colOff>
                    <xdr:row>18</xdr:row>
                    <xdr:rowOff>133350</xdr:rowOff>
                  </from>
                  <to>
                    <xdr:col>2</xdr:col>
                    <xdr:colOff>895350</xdr:colOff>
                    <xdr:row>18</xdr:row>
                    <xdr:rowOff>438150</xdr:rowOff>
                  </to>
                </anchor>
              </controlPr>
            </control>
          </mc:Choice>
        </mc:AlternateContent>
        <mc:AlternateContent xmlns:mc="http://schemas.openxmlformats.org/markup-compatibility/2006">
          <mc:Choice Requires="x14">
            <control shapeId="8207" r:id="rId17" name="Check Box 15">
              <controlPr defaultSize="0" autoFill="0" autoLine="0" autoPict="0">
                <anchor moveWithCells="1">
                  <from>
                    <xdr:col>2</xdr:col>
                    <xdr:colOff>390525</xdr:colOff>
                    <xdr:row>19</xdr:row>
                    <xdr:rowOff>323850</xdr:rowOff>
                  </from>
                  <to>
                    <xdr:col>2</xdr:col>
                    <xdr:colOff>895350</xdr:colOff>
                    <xdr:row>19</xdr:row>
                    <xdr:rowOff>628650</xdr:rowOff>
                  </to>
                </anchor>
              </controlPr>
            </control>
          </mc:Choice>
        </mc:AlternateContent>
        <mc:AlternateContent xmlns:mc="http://schemas.openxmlformats.org/markup-compatibility/2006">
          <mc:Choice Requires="x14">
            <control shapeId="8208" r:id="rId18" name="Check Box 16">
              <controlPr defaultSize="0" autoFill="0" autoLine="0" autoPict="0">
                <anchor moveWithCells="1">
                  <from>
                    <xdr:col>2</xdr:col>
                    <xdr:colOff>390525</xdr:colOff>
                    <xdr:row>20</xdr:row>
                    <xdr:rowOff>333375</xdr:rowOff>
                  </from>
                  <to>
                    <xdr:col>2</xdr:col>
                    <xdr:colOff>895350</xdr:colOff>
                    <xdr:row>20</xdr:row>
                    <xdr:rowOff>638175</xdr:rowOff>
                  </to>
                </anchor>
              </controlPr>
            </control>
          </mc:Choice>
        </mc:AlternateContent>
        <mc:AlternateContent xmlns:mc="http://schemas.openxmlformats.org/markup-compatibility/2006">
          <mc:Choice Requires="x14">
            <control shapeId="8209" r:id="rId19" name="Check Box 17">
              <controlPr defaultSize="0" autoFill="0" autoLine="0" autoPict="0">
                <anchor moveWithCells="1">
                  <from>
                    <xdr:col>2</xdr:col>
                    <xdr:colOff>390525</xdr:colOff>
                    <xdr:row>21</xdr:row>
                    <xdr:rowOff>142875</xdr:rowOff>
                  </from>
                  <to>
                    <xdr:col>2</xdr:col>
                    <xdr:colOff>895350</xdr:colOff>
                    <xdr:row>21</xdr:row>
                    <xdr:rowOff>447675</xdr:rowOff>
                  </to>
                </anchor>
              </controlPr>
            </control>
          </mc:Choice>
        </mc:AlternateContent>
        <mc:AlternateContent xmlns:mc="http://schemas.openxmlformats.org/markup-compatibility/2006">
          <mc:Choice Requires="x14">
            <control shapeId="8210" r:id="rId20" name="Check Box 18">
              <controlPr defaultSize="0" autoFill="0" autoLine="0" autoPict="0">
                <anchor moveWithCells="1">
                  <from>
                    <xdr:col>2</xdr:col>
                    <xdr:colOff>390525</xdr:colOff>
                    <xdr:row>22</xdr:row>
                    <xdr:rowOff>800100</xdr:rowOff>
                  </from>
                  <to>
                    <xdr:col>2</xdr:col>
                    <xdr:colOff>895350</xdr:colOff>
                    <xdr:row>22</xdr:row>
                    <xdr:rowOff>1104900</xdr:rowOff>
                  </to>
                </anchor>
              </controlPr>
            </control>
          </mc:Choice>
        </mc:AlternateContent>
        <mc:AlternateContent xmlns:mc="http://schemas.openxmlformats.org/markup-compatibility/2006">
          <mc:Choice Requires="x14">
            <control shapeId="8215" r:id="rId21" name="Button 23">
              <controlPr defaultSize="0" print="0" autoFill="0" autoPict="0" macro="[0]!AvanzaExcepcion">
                <anchor moveWithCells="1" sizeWithCells="1">
                  <from>
                    <xdr:col>1</xdr:col>
                    <xdr:colOff>1285875</xdr:colOff>
                    <xdr:row>2</xdr:row>
                    <xdr:rowOff>85725</xdr:rowOff>
                  </from>
                  <to>
                    <xdr:col>1</xdr:col>
                    <xdr:colOff>2295525</xdr:colOff>
                    <xdr:row>4</xdr:row>
                    <xdr:rowOff>104775</xdr:rowOff>
                  </to>
                </anchor>
              </controlPr>
            </control>
          </mc:Choice>
        </mc:AlternateContent>
        <mc:AlternateContent xmlns:mc="http://schemas.openxmlformats.org/markup-compatibility/2006">
          <mc:Choice Requires="x14">
            <control shapeId="8217" r:id="rId22" name="Button 25">
              <controlPr defaultSize="0" print="0" autoFill="0" autoPict="0" macro="[0]!Regresar">
                <anchor moveWithCells="1" sizeWithCells="1">
                  <from>
                    <xdr:col>1</xdr:col>
                    <xdr:colOff>57150</xdr:colOff>
                    <xdr:row>2</xdr:row>
                    <xdr:rowOff>85725</xdr:rowOff>
                  </from>
                  <to>
                    <xdr:col>1</xdr:col>
                    <xdr:colOff>1066800</xdr:colOff>
                    <xdr:row>4</xdr:row>
                    <xdr:rowOff>104775</xdr:rowOff>
                  </to>
                </anchor>
              </controlPr>
            </control>
          </mc:Choice>
        </mc:AlternateContent>
        <mc:AlternateContent xmlns:mc="http://schemas.openxmlformats.org/markup-compatibility/2006">
          <mc:Choice Requires="x14">
            <control shapeId="8218" r:id="rId23" name="Button 26">
              <controlPr defaultSize="0" print="0" autoFill="0" autoPict="0" macro="[0]!Referencias">
                <anchor moveWithCells="1" sizeWithCells="1">
                  <from>
                    <xdr:col>1</xdr:col>
                    <xdr:colOff>2524125</xdr:colOff>
                    <xdr:row>2</xdr:row>
                    <xdr:rowOff>85725</xdr:rowOff>
                  </from>
                  <to>
                    <xdr:col>1</xdr:col>
                    <xdr:colOff>3524250</xdr:colOff>
                    <xdr:row>4</xdr:row>
                    <xdr:rowOff>104775</xdr:rowOff>
                  </to>
                </anchor>
              </controlPr>
            </control>
          </mc:Choice>
        </mc:AlternateContent>
        <mc:AlternateContent xmlns:mc="http://schemas.openxmlformats.org/markup-compatibility/2006">
          <mc:Choice Requires="x14">
            <control shapeId="8219" r:id="rId24" name="Button 27">
              <controlPr defaultSize="0" print="0" autoFill="0" autoPict="0" macro="[0]!LimpiarDatos">
                <anchor moveWithCells="1" sizeWithCells="1">
                  <from>
                    <xdr:col>1</xdr:col>
                    <xdr:colOff>3752850</xdr:colOff>
                    <xdr:row>2</xdr:row>
                    <xdr:rowOff>85725</xdr:rowOff>
                  </from>
                  <to>
                    <xdr:col>1</xdr:col>
                    <xdr:colOff>4762500</xdr:colOff>
                    <xdr:row>4</xdr:row>
                    <xdr:rowOff>104775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B1859F-ED56-406F-86FF-0C82E26DF7A9}">
  <sheetPr codeName="Hoja16"/>
  <dimension ref="A2:K100"/>
  <sheetViews>
    <sheetView workbookViewId="0">
      <pane ySplit="4" topLeftCell="A5" activePane="bottomLeft" state="frozen"/>
      <selection activeCell="B1" sqref="B1"/>
      <selection pane="bottomLeft" activeCell="G5" sqref="G5:J5"/>
    </sheetView>
  </sheetViews>
  <sheetFormatPr baseColWidth="10" defaultColWidth="11.42578125" defaultRowHeight="15" x14ac:dyDescent="0.25"/>
  <cols>
    <col min="1" max="1" width="13.28515625" style="3" customWidth="1"/>
    <col min="2" max="2" width="11.42578125" style="3" customWidth="1"/>
    <col min="3" max="3" width="11.42578125" style="3"/>
    <col min="4" max="4" width="13.7109375" style="3" customWidth="1"/>
    <col min="5" max="5" width="53" style="3" bestFit="1" customWidth="1"/>
    <col min="6" max="9" width="13.85546875" style="3" customWidth="1"/>
    <col min="10" max="10" width="41.7109375" style="3" customWidth="1"/>
    <col min="11" max="11" width="48.7109375" style="3" customWidth="1"/>
    <col min="12" max="16384" width="11.42578125" style="3"/>
  </cols>
  <sheetData>
    <row r="2" spans="2:11" ht="46.5" customHeight="1" x14ac:dyDescent="0.4">
      <c r="C2" s="101" t="s">
        <v>362</v>
      </c>
    </row>
    <row r="3" spans="2:11" ht="19.5" customHeight="1" x14ac:dyDescent="0.25"/>
    <row r="4" spans="2:11" ht="30" customHeight="1" x14ac:dyDescent="0.25">
      <c r="B4" s="168" t="s">
        <v>148</v>
      </c>
      <c r="C4" s="168"/>
      <c r="D4" s="168"/>
      <c r="E4" s="9" t="s">
        <v>149</v>
      </c>
      <c r="F4" s="9" t="s">
        <v>150</v>
      </c>
      <c r="G4" s="9" t="s">
        <v>151</v>
      </c>
      <c r="H4" s="9" t="s">
        <v>152</v>
      </c>
      <c r="I4" s="9" t="s">
        <v>153</v>
      </c>
      <c r="J4" s="8" t="s">
        <v>154</v>
      </c>
      <c r="K4" s="8" t="s">
        <v>155</v>
      </c>
    </row>
    <row r="5" spans="2:11" ht="405" x14ac:dyDescent="0.3">
      <c r="B5" s="34" t="s">
        <v>363</v>
      </c>
      <c r="C5" s="34" t="s">
        <v>364</v>
      </c>
      <c r="D5" s="34" t="s">
        <v>365</v>
      </c>
      <c r="E5" s="115" t="s">
        <v>366</v>
      </c>
      <c r="F5" s="2"/>
      <c r="G5" s="2"/>
      <c r="H5" s="2"/>
      <c r="I5" s="2"/>
      <c r="J5" s="120"/>
      <c r="K5" s="120"/>
    </row>
    <row r="100" spans="1:1" x14ac:dyDescent="0.25">
      <c r="A100" s="3">
        <v>9</v>
      </c>
    </row>
  </sheetData>
  <mergeCells count="1">
    <mergeCell ref="B4:D4"/>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5058" r:id="rId3" name="Button 2">
              <controlPr defaultSize="0" print="0" autoFill="0" autoPict="0" macro="[0]!Regresar">
                <anchor moveWithCells="1" sizeWithCells="1">
                  <from>
                    <xdr:col>5</xdr:col>
                    <xdr:colOff>47625</xdr:colOff>
                    <xdr:row>1</xdr:row>
                    <xdr:rowOff>95250</xdr:rowOff>
                  </from>
                  <to>
                    <xdr:col>6</xdr:col>
                    <xdr:colOff>133350</xdr:colOff>
                    <xdr:row>1</xdr:row>
                    <xdr:rowOff>495300</xdr:rowOff>
                  </to>
                </anchor>
              </controlPr>
            </control>
          </mc:Choice>
        </mc:AlternateContent>
        <mc:AlternateContent xmlns:mc="http://schemas.openxmlformats.org/markup-compatibility/2006">
          <mc:Choice Requires="x14">
            <control shapeId="45061" r:id="rId4" name="Button 5">
              <controlPr defaultSize="0" print="0" autoFill="0" autoPict="0" macro="[0]!ContinuarAspectos">
                <anchor moveWithCells="1" sizeWithCells="1">
                  <from>
                    <xdr:col>6</xdr:col>
                    <xdr:colOff>390525</xdr:colOff>
                    <xdr:row>1</xdr:row>
                    <xdr:rowOff>95250</xdr:rowOff>
                  </from>
                  <to>
                    <xdr:col>7</xdr:col>
                    <xdr:colOff>476250</xdr:colOff>
                    <xdr:row>1</xdr:row>
                    <xdr:rowOff>495300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58B222F8-B8A8-4E59-B7CA-5249F9BBC76E}">
          <x14:formula1>
            <xm:f>Aux!$H$2:$H$3</xm:f>
          </x14:formula1>
          <xm:sqref>F5</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D9DA48-07CA-4FFE-898F-183AA09A08C2}">
  <sheetPr codeName="Hoja7"/>
  <dimension ref="A2:XFD100"/>
  <sheetViews>
    <sheetView topLeftCell="D1" workbookViewId="0">
      <pane ySplit="4" topLeftCell="A5" activePane="bottomLeft" state="frozen"/>
      <selection activeCell="B1" sqref="B1"/>
      <selection pane="bottomLeft" activeCell="J5" sqref="J5"/>
    </sheetView>
  </sheetViews>
  <sheetFormatPr baseColWidth="10" defaultColWidth="11.42578125" defaultRowHeight="15" x14ac:dyDescent="0.25"/>
  <cols>
    <col min="1" max="1" width="13.28515625" style="3" customWidth="1"/>
    <col min="2" max="3" width="11.42578125" style="3"/>
    <col min="4" max="4" width="13.7109375" style="3" customWidth="1"/>
    <col min="5" max="5" width="45.7109375" style="3" customWidth="1"/>
    <col min="6" max="9" width="13.85546875" style="3" customWidth="1"/>
    <col min="10" max="10" width="41.7109375" style="3" customWidth="1"/>
    <col min="11" max="11" width="48.7109375" style="3" customWidth="1"/>
    <col min="12" max="16384" width="11.42578125" style="3"/>
  </cols>
  <sheetData>
    <row r="2" spans="2:11 16384:16384" ht="46.5" customHeight="1" x14ac:dyDescent="0.35">
      <c r="C2" s="59" t="s">
        <v>367</v>
      </c>
    </row>
    <row r="3" spans="2:11 16384:16384" ht="19.5" customHeight="1" x14ac:dyDescent="0.25"/>
    <row r="4" spans="2:11 16384:16384" ht="30" customHeight="1" x14ac:dyDescent="0.25">
      <c r="B4" s="168" t="s">
        <v>148</v>
      </c>
      <c r="C4" s="168"/>
      <c r="D4" s="168"/>
      <c r="E4" s="8" t="s">
        <v>149</v>
      </c>
      <c r="F4" s="9" t="s">
        <v>150</v>
      </c>
      <c r="G4" s="9" t="s">
        <v>151</v>
      </c>
      <c r="H4" s="9" t="s">
        <v>152</v>
      </c>
      <c r="I4" s="9" t="s">
        <v>153</v>
      </c>
      <c r="J4" s="8" t="s">
        <v>154</v>
      </c>
      <c r="K4" s="8" t="s">
        <v>155</v>
      </c>
    </row>
    <row r="5" spans="2:11 16384:16384" ht="150" x14ac:dyDescent="0.3">
      <c r="B5" s="162" t="s">
        <v>184</v>
      </c>
      <c r="C5" s="5" t="s">
        <v>368</v>
      </c>
      <c r="D5" s="14" t="s">
        <v>369</v>
      </c>
      <c r="E5" s="118" t="s">
        <v>370</v>
      </c>
      <c r="F5" s="2"/>
      <c r="G5" s="2"/>
      <c r="H5" s="2"/>
      <c r="I5" s="2"/>
      <c r="J5" s="120"/>
      <c r="K5" s="119"/>
      <c r="XFD5" s="5" t="s">
        <v>368</v>
      </c>
    </row>
    <row r="6" spans="2:11 16384:16384" ht="165" x14ac:dyDescent="0.3">
      <c r="B6" s="163"/>
      <c r="C6" s="165" t="s">
        <v>371</v>
      </c>
      <c r="D6" s="15" t="s">
        <v>186</v>
      </c>
      <c r="E6" s="118" t="s">
        <v>372</v>
      </c>
      <c r="F6" s="2"/>
      <c r="G6" s="2"/>
      <c r="H6" s="2"/>
      <c r="I6" s="2"/>
      <c r="J6" s="120"/>
      <c r="K6" s="119"/>
      <c r="XFD6" s="49" t="s">
        <v>371</v>
      </c>
    </row>
    <row r="7" spans="2:11 16384:16384" ht="165" x14ac:dyDescent="0.3">
      <c r="B7" s="163"/>
      <c r="C7" s="166"/>
      <c r="D7" s="15" t="s">
        <v>162</v>
      </c>
      <c r="E7" s="118" t="s">
        <v>373</v>
      </c>
      <c r="F7" s="2"/>
      <c r="G7" s="2"/>
      <c r="H7" s="2"/>
      <c r="I7" s="2"/>
      <c r="J7" s="120"/>
      <c r="K7" s="120"/>
      <c r="XFD7" s="49" t="s">
        <v>371</v>
      </c>
    </row>
    <row r="8" spans="2:11 16384:16384" ht="135" x14ac:dyDescent="0.3">
      <c r="B8" s="164"/>
      <c r="C8" s="167"/>
      <c r="D8" s="15" t="s">
        <v>164</v>
      </c>
      <c r="E8" s="118" t="s">
        <v>374</v>
      </c>
      <c r="F8" s="2"/>
      <c r="G8" s="2"/>
      <c r="H8" s="2"/>
      <c r="I8" s="2"/>
      <c r="J8" s="120"/>
      <c r="K8" s="120"/>
      <c r="XFD8" s="49" t="s">
        <v>371</v>
      </c>
    </row>
    <row r="9" spans="2:11 16384:16384" x14ac:dyDescent="0.25">
      <c r="B9" s="6"/>
    </row>
    <row r="100" spans="1:1" x14ac:dyDescent="0.25">
      <c r="A100" s="3">
        <v>3</v>
      </c>
    </row>
  </sheetData>
  <mergeCells count="3">
    <mergeCell ref="B4:D4"/>
    <mergeCell ref="B5:B8"/>
    <mergeCell ref="C6:C8"/>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3" r:id="rId4" name="Button 3">
              <controlPr defaultSize="0" print="0" autoFill="0" autoPict="0" macro="[0]!ContinuarAspectos">
                <anchor moveWithCells="1" sizeWithCells="1">
                  <from>
                    <xdr:col>7</xdr:col>
                    <xdr:colOff>847725</xdr:colOff>
                    <xdr:row>1</xdr:row>
                    <xdr:rowOff>85725</xdr:rowOff>
                  </from>
                  <to>
                    <xdr:col>9</xdr:col>
                    <xdr:colOff>9525</xdr:colOff>
                    <xdr:row>1</xdr:row>
                    <xdr:rowOff>485775</xdr:rowOff>
                  </to>
                </anchor>
              </controlPr>
            </control>
          </mc:Choice>
        </mc:AlternateContent>
        <mc:AlternateContent xmlns:mc="http://schemas.openxmlformats.org/markup-compatibility/2006">
          <mc:Choice Requires="x14">
            <control shapeId="10249" r:id="rId5" name="Button 9">
              <controlPr defaultSize="0" print="0" autoFill="0" autoPict="0" macro="[0]!Regresar">
                <anchor moveWithCells="1" sizeWithCells="1">
                  <from>
                    <xdr:col>6</xdr:col>
                    <xdr:colOff>447675</xdr:colOff>
                    <xdr:row>1</xdr:row>
                    <xdr:rowOff>85725</xdr:rowOff>
                  </from>
                  <to>
                    <xdr:col>7</xdr:col>
                    <xdr:colOff>533400</xdr:colOff>
                    <xdr:row>1</xdr:row>
                    <xdr:rowOff>485775</xdr:rowOff>
                  </to>
                </anchor>
              </controlPr>
            </control>
          </mc:Choice>
        </mc:AlternateContent>
        <mc:AlternateContent xmlns:mc="http://schemas.openxmlformats.org/markup-compatibility/2006">
          <mc:Choice Requires="x14">
            <control shapeId="10254" r:id="rId6" name="Button 14">
              <controlPr defaultSize="0" print="0" autoFill="0" autoPict="0" macro="[0]!Limpia">
                <anchor moveWithCells="1" sizeWithCells="1">
                  <from>
                    <xdr:col>9</xdr:col>
                    <xdr:colOff>390525</xdr:colOff>
                    <xdr:row>1</xdr:row>
                    <xdr:rowOff>85725</xdr:rowOff>
                  </from>
                  <to>
                    <xdr:col>9</xdr:col>
                    <xdr:colOff>1400175</xdr:colOff>
                    <xdr:row>1</xdr:row>
                    <xdr:rowOff>485775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D3EDD42F-63AF-460F-95C7-10CFEB178F67}">
          <x14:formula1>
            <xm:f>Aux!$H$2:$H$3</xm:f>
          </x14:formula1>
          <xm:sqref>F5:F8</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C85CB-1A02-4D6D-AFEA-EB3E88ED0836}">
  <sheetPr codeName="Hoja10"/>
  <dimension ref="A1:H100"/>
  <sheetViews>
    <sheetView zoomScaleNormal="100" workbookViewId="0">
      <pane xSplit="1" ySplit="1" topLeftCell="B2" activePane="bottomRight" state="frozen"/>
      <selection pane="topRight" activeCell="B1" sqref="B1"/>
      <selection pane="bottomLeft" activeCell="B1" sqref="B1"/>
      <selection pane="bottomRight" activeCell="L2" sqref="L2"/>
    </sheetView>
  </sheetViews>
  <sheetFormatPr baseColWidth="10" defaultColWidth="11.42578125" defaultRowHeight="15" x14ac:dyDescent="0.25"/>
  <cols>
    <col min="1" max="1" width="11.42578125" style="3"/>
    <col min="2" max="2" width="120.7109375" style="6" customWidth="1"/>
    <col min="3" max="3" width="20.7109375" style="3" customWidth="1"/>
    <col min="4" max="4" width="100.7109375" style="3" customWidth="1"/>
    <col min="5" max="5" width="20.7109375" style="3" customWidth="1"/>
    <col min="6" max="6" width="100.7109375" style="3" customWidth="1"/>
    <col min="7" max="7" width="11.42578125" style="3"/>
    <col min="8" max="8" width="102.28515625" style="3" customWidth="1"/>
    <col min="9" max="16384" width="11.42578125" style="3"/>
  </cols>
  <sheetData>
    <row r="1" spans="2:8" ht="30" customHeight="1" thickBot="1" x14ac:dyDescent="0.3">
      <c r="B1" s="35" t="s">
        <v>375</v>
      </c>
      <c r="D1" s="35" t="s">
        <v>376</v>
      </c>
      <c r="F1" s="35" t="s">
        <v>377</v>
      </c>
      <c r="H1" s="35" t="s">
        <v>378</v>
      </c>
    </row>
    <row r="2" spans="2:8" ht="391.5" thickTop="1" thickBot="1" x14ac:dyDescent="0.3">
      <c r="B2" s="125" t="s">
        <v>379</v>
      </c>
      <c r="D2" s="128" t="s">
        <v>380</v>
      </c>
      <c r="F2" s="128" t="s">
        <v>381</v>
      </c>
      <c r="H2" s="128" t="s">
        <v>382</v>
      </c>
    </row>
    <row r="3" spans="2:8" ht="409.6" thickTop="1" thickBot="1" x14ac:dyDescent="0.3">
      <c r="B3" s="126" t="s">
        <v>383</v>
      </c>
      <c r="H3" s="128" t="s">
        <v>384</v>
      </c>
    </row>
    <row r="4" spans="2:8" ht="196.5" thickTop="1" thickBot="1" x14ac:dyDescent="0.3">
      <c r="B4" s="127" t="s">
        <v>385</v>
      </c>
    </row>
    <row r="5" spans="2:8" ht="16.5" thickTop="1" thickBot="1" x14ac:dyDescent="0.3">
      <c r="B5" s="114"/>
    </row>
    <row r="6" spans="2:8" ht="360.75" thickTop="1" x14ac:dyDescent="0.25">
      <c r="B6" s="125" t="s">
        <v>386</v>
      </c>
    </row>
    <row r="7" spans="2:8" ht="360" x14ac:dyDescent="0.25">
      <c r="B7" s="126" t="s">
        <v>387</v>
      </c>
    </row>
    <row r="8" spans="2:8" ht="405.75" thickBot="1" x14ac:dyDescent="0.3">
      <c r="B8" s="127" t="s">
        <v>388</v>
      </c>
    </row>
    <row r="9" spans="2:8" ht="16.5" thickTop="1" thickBot="1" x14ac:dyDescent="0.3">
      <c r="B9" s="114"/>
    </row>
    <row r="10" spans="2:8" ht="121.5" thickTop="1" thickBot="1" x14ac:dyDescent="0.3">
      <c r="B10" s="128" t="s">
        <v>389</v>
      </c>
    </row>
    <row r="11" spans="2:8" ht="16.5" thickTop="1" thickBot="1" x14ac:dyDescent="0.3">
      <c r="B11" s="114"/>
    </row>
    <row r="12" spans="2:8" ht="375.75" thickTop="1" x14ac:dyDescent="0.25">
      <c r="B12" s="125" t="s">
        <v>390</v>
      </c>
    </row>
    <row r="13" spans="2:8" ht="375" x14ac:dyDescent="0.25">
      <c r="B13" s="126" t="s">
        <v>391</v>
      </c>
    </row>
    <row r="14" spans="2:8" ht="150.75" thickBot="1" x14ac:dyDescent="0.3">
      <c r="B14" s="127" t="s">
        <v>392</v>
      </c>
    </row>
    <row r="15" spans="2:8" ht="16.5" thickTop="1" thickBot="1" x14ac:dyDescent="0.3">
      <c r="B15" s="114"/>
    </row>
    <row r="16" spans="2:8" ht="256.5" thickTop="1" thickBot="1" x14ac:dyDescent="0.3">
      <c r="B16" s="128" t="s">
        <v>393</v>
      </c>
    </row>
    <row r="17" spans="2:2" ht="16.5" thickTop="1" thickBot="1" x14ac:dyDescent="0.3">
      <c r="B17" s="114"/>
    </row>
    <row r="18" spans="2:2" ht="330.75" thickTop="1" x14ac:dyDescent="0.25">
      <c r="B18" s="125" t="s">
        <v>394</v>
      </c>
    </row>
    <row r="19" spans="2:2" ht="360" x14ac:dyDescent="0.25">
      <c r="B19" s="126" t="s">
        <v>395</v>
      </c>
    </row>
    <row r="20" spans="2:2" ht="390.75" thickBot="1" x14ac:dyDescent="0.3">
      <c r="B20" s="127" t="s">
        <v>396</v>
      </c>
    </row>
    <row r="21" spans="2:2" ht="15.75" thickTop="1" x14ac:dyDescent="0.25"/>
    <row r="100" spans="1:1" x14ac:dyDescent="0.25">
      <c r="A100" s="3">
        <v>10</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8369" r:id="rId3" name="Button 1">
              <controlPr defaultSize="0" print="0" autoFill="0" autoPict="0" macro="[0]!Regresar">
                <anchor moveWithCells="1" sizeWithCells="1">
                  <from>
                    <xdr:col>0</xdr:col>
                    <xdr:colOff>19050</xdr:colOff>
                    <xdr:row>0</xdr:row>
                    <xdr:rowOff>0</xdr:rowOff>
                  </from>
                  <to>
                    <xdr:col>0</xdr:col>
                    <xdr:colOff>752475</xdr:colOff>
                    <xdr:row>1</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02A93C-790E-4996-BEB5-D1144B73188E}">
  <sheetPr codeName="Hoja1"/>
  <dimension ref="A2:XFD100"/>
  <sheetViews>
    <sheetView topLeftCell="C1" workbookViewId="0">
      <pane ySplit="4" topLeftCell="A5" activePane="bottomLeft" state="frozen"/>
      <selection activeCell="J3" sqref="J3"/>
      <selection pane="bottomLeft" activeCell="K5" sqref="K5"/>
    </sheetView>
  </sheetViews>
  <sheetFormatPr baseColWidth="10" defaultColWidth="11.42578125" defaultRowHeight="15" x14ac:dyDescent="0.25"/>
  <cols>
    <col min="1" max="1" width="13.28515625" style="3" customWidth="1"/>
    <col min="2" max="3" width="11.42578125" style="3"/>
    <col min="4" max="4" width="13.7109375" style="3" customWidth="1"/>
    <col min="5" max="5" width="45.7109375" style="3" customWidth="1"/>
    <col min="6" max="9" width="13.85546875" style="3" customWidth="1"/>
    <col min="10" max="10" width="41.7109375" style="3" customWidth="1"/>
    <col min="11" max="11" width="48.7109375" style="3" customWidth="1"/>
    <col min="12" max="16384" width="11.42578125" style="3"/>
  </cols>
  <sheetData>
    <row r="2" spans="2:11 16384:16384" ht="46.5" customHeight="1" x14ac:dyDescent="0.25">
      <c r="C2" s="3" t="s">
        <v>397</v>
      </c>
    </row>
    <row r="3" spans="2:11 16384:16384" ht="19.5" customHeight="1" x14ac:dyDescent="0.25"/>
    <row r="4" spans="2:11 16384:16384" ht="30" customHeight="1" x14ac:dyDescent="0.25">
      <c r="B4" s="173" t="s">
        <v>148</v>
      </c>
      <c r="C4" s="173"/>
      <c r="D4" s="168"/>
      <c r="E4" s="9" t="s">
        <v>149</v>
      </c>
      <c r="F4" s="9" t="s">
        <v>150</v>
      </c>
      <c r="G4" s="9" t="s">
        <v>151</v>
      </c>
      <c r="H4" s="9" t="s">
        <v>152</v>
      </c>
      <c r="I4" s="9" t="s">
        <v>153</v>
      </c>
      <c r="J4" s="8" t="s">
        <v>154</v>
      </c>
      <c r="K4" s="8" t="s">
        <v>155</v>
      </c>
    </row>
    <row r="5" spans="2:11 16384:16384" ht="210" x14ac:dyDescent="0.25">
      <c r="B5" s="162" t="s">
        <v>184</v>
      </c>
      <c r="C5" s="165" t="s">
        <v>185</v>
      </c>
      <c r="D5" s="52" t="s">
        <v>191</v>
      </c>
      <c r="E5" s="119" t="s">
        <v>192</v>
      </c>
      <c r="F5" s="2"/>
      <c r="G5" s="2"/>
      <c r="H5" s="2"/>
      <c r="I5" s="2"/>
      <c r="J5" s="120"/>
      <c r="K5" s="120"/>
      <c r="XFD5" s="3" t="s">
        <v>398</v>
      </c>
    </row>
    <row r="6" spans="2:11 16384:16384" ht="75" x14ac:dyDescent="0.25">
      <c r="B6" s="163"/>
      <c r="C6" s="166"/>
      <c r="D6" s="52" t="s">
        <v>193</v>
      </c>
      <c r="E6" s="119" t="s">
        <v>194</v>
      </c>
      <c r="F6" s="2"/>
      <c r="G6" s="2"/>
      <c r="H6" s="2"/>
      <c r="I6" s="2"/>
      <c r="J6" s="120"/>
      <c r="K6" s="120"/>
      <c r="XFD6" s="3" t="s">
        <v>398</v>
      </c>
    </row>
    <row r="7" spans="2:11 16384:16384" ht="150" x14ac:dyDescent="0.25">
      <c r="B7" s="163"/>
      <c r="C7" s="166"/>
      <c r="D7" s="52" t="s">
        <v>195</v>
      </c>
      <c r="E7" s="119" t="s">
        <v>196</v>
      </c>
      <c r="F7" s="2"/>
      <c r="G7" s="2"/>
      <c r="H7" s="2"/>
      <c r="I7" s="2"/>
      <c r="J7" s="120"/>
      <c r="K7" s="120"/>
      <c r="XFD7" s="3" t="s">
        <v>398</v>
      </c>
    </row>
    <row r="8" spans="2:11 16384:16384" ht="90" x14ac:dyDescent="0.25">
      <c r="B8" s="163"/>
      <c r="C8" s="166"/>
      <c r="D8" s="52" t="s">
        <v>197</v>
      </c>
      <c r="E8" s="119" t="s">
        <v>198</v>
      </c>
      <c r="F8" s="2"/>
      <c r="G8" s="2"/>
      <c r="H8" s="2"/>
      <c r="I8" s="2"/>
      <c r="J8" s="120"/>
      <c r="K8" s="120"/>
      <c r="XFD8" s="3" t="s">
        <v>398</v>
      </c>
    </row>
    <row r="9" spans="2:11 16384:16384" ht="210" x14ac:dyDescent="0.25">
      <c r="B9" s="164"/>
      <c r="C9" s="167"/>
      <c r="D9" s="52" t="s">
        <v>199</v>
      </c>
      <c r="E9" s="119" t="s">
        <v>200</v>
      </c>
      <c r="F9" s="2"/>
      <c r="G9" s="2"/>
      <c r="H9" s="2"/>
      <c r="I9" s="2"/>
      <c r="J9" s="120"/>
      <c r="K9" s="120"/>
      <c r="XFD9" s="3" t="s">
        <v>398</v>
      </c>
    </row>
    <row r="100" spans="1:1" x14ac:dyDescent="0.25">
      <c r="A100" s="3">
        <v>8</v>
      </c>
    </row>
  </sheetData>
  <mergeCells count="3">
    <mergeCell ref="B4:D4"/>
    <mergeCell ref="B5:B9"/>
    <mergeCell ref="C5:C9"/>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3188" r:id="rId3" name="Button 4">
              <controlPr defaultSize="0" print="0" autoFill="0" autoPict="0" macro="[0]!Regresar">
                <anchor moveWithCells="1" sizeWithCells="1">
                  <from>
                    <xdr:col>5</xdr:col>
                    <xdr:colOff>161925</xdr:colOff>
                    <xdr:row>1</xdr:row>
                    <xdr:rowOff>104775</xdr:rowOff>
                  </from>
                  <to>
                    <xdr:col>6</xdr:col>
                    <xdr:colOff>295275</xdr:colOff>
                    <xdr:row>1</xdr:row>
                    <xdr:rowOff>466725</xdr:rowOff>
                  </to>
                </anchor>
              </controlPr>
            </control>
          </mc:Choice>
        </mc:AlternateContent>
        <mc:AlternateContent xmlns:mc="http://schemas.openxmlformats.org/markup-compatibility/2006">
          <mc:Choice Requires="x14">
            <control shapeId="93189" r:id="rId4" name="Button 5">
              <controlPr defaultSize="0" print="0" autoFill="0" autoPict="0" macro="[0]!Limpia">
                <anchor moveWithCells="1" sizeWithCells="1">
                  <from>
                    <xdr:col>6</xdr:col>
                    <xdr:colOff>495300</xdr:colOff>
                    <xdr:row>1</xdr:row>
                    <xdr:rowOff>95250</xdr:rowOff>
                  </from>
                  <to>
                    <xdr:col>7</xdr:col>
                    <xdr:colOff>628650</xdr:colOff>
                    <xdr:row>1</xdr:row>
                    <xdr:rowOff>457200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3446D993-E320-4752-B0AB-E0F5007FD17E}">
          <x14:formula1>
            <xm:f>Aux!$H$2:$H$3</xm:f>
          </x14:formula1>
          <xm:sqref>F5:F9</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448018-1E08-4566-BB83-E2101FF052E2}">
  <sheetPr codeName="Hoja5"/>
  <dimension ref="A2:XFD100"/>
  <sheetViews>
    <sheetView zoomScale="120" zoomScaleNormal="120" workbookViewId="0">
      <pane ySplit="4" topLeftCell="A5" activePane="bottomLeft" state="frozen"/>
      <selection activeCell="C13" sqref="C13"/>
      <selection pane="bottomLeft" activeCell="C5" sqref="C5:C6"/>
    </sheetView>
  </sheetViews>
  <sheetFormatPr baseColWidth="10" defaultColWidth="11.42578125" defaultRowHeight="15" x14ac:dyDescent="0.25"/>
  <cols>
    <col min="1" max="1" width="13.28515625" style="3" customWidth="1"/>
    <col min="2" max="3" width="11.42578125" style="3"/>
    <col min="4" max="4" width="13.7109375" style="3" customWidth="1"/>
    <col min="5" max="5" width="45.7109375" style="3" customWidth="1"/>
    <col min="6" max="9" width="13.85546875" style="3" customWidth="1"/>
    <col min="10" max="10" width="41.7109375" style="3" customWidth="1"/>
    <col min="11" max="11" width="48.7109375" style="3" customWidth="1"/>
    <col min="12" max="16384" width="11.42578125" style="3"/>
  </cols>
  <sheetData>
    <row r="2" spans="2:11 16384:16384" ht="46.5" customHeight="1" x14ac:dyDescent="0.25"/>
    <row r="3" spans="2:11 16384:16384" ht="19.5" customHeight="1" x14ac:dyDescent="0.3">
      <c r="B3" s="161" t="s">
        <v>147</v>
      </c>
      <c r="C3" s="161"/>
      <c r="D3" s="161"/>
      <c r="E3" s="161"/>
    </row>
    <row r="4" spans="2:11 16384:16384" ht="30" customHeight="1" x14ac:dyDescent="0.25">
      <c r="B4" s="168" t="s">
        <v>148</v>
      </c>
      <c r="C4" s="168"/>
      <c r="D4" s="168"/>
      <c r="E4" s="8" t="s">
        <v>149</v>
      </c>
      <c r="F4" s="9" t="s">
        <v>150</v>
      </c>
      <c r="G4" s="9" t="s">
        <v>151</v>
      </c>
      <c r="H4" s="9" t="s">
        <v>152</v>
      </c>
      <c r="I4" s="9" t="s">
        <v>153</v>
      </c>
      <c r="J4" s="8" t="s">
        <v>154</v>
      </c>
      <c r="K4" s="8" t="s">
        <v>155</v>
      </c>
    </row>
    <row r="5" spans="2:11 16384:16384" ht="150" x14ac:dyDescent="0.3">
      <c r="B5" s="162" t="s">
        <v>156</v>
      </c>
      <c r="C5" s="165" t="s">
        <v>399</v>
      </c>
      <c r="D5" s="5" t="s">
        <v>186</v>
      </c>
      <c r="E5" s="115" t="s">
        <v>400</v>
      </c>
      <c r="F5" s="2"/>
      <c r="G5" s="2"/>
      <c r="H5" s="2"/>
      <c r="I5" s="2"/>
      <c r="J5" s="120"/>
      <c r="K5" s="120"/>
      <c r="XFD5" s="49" t="s">
        <v>399</v>
      </c>
    </row>
    <row r="6" spans="2:11 16384:16384" ht="135" x14ac:dyDescent="0.3">
      <c r="B6" s="163"/>
      <c r="C6" s="167"/>
      <c r="D6" s="7" t="s">
        <v>204</v>
      </c>
      <c r="E6" s="115" t="s">
        <v>401</v>
      </c>
      <c r="F6" s="2"/>
      <c r="G6" s="2"/>
      <c r="H6" s="2"/>
      <c r="I6" s="2"/>
      <c r="J6" s="120"/>
      <c r="K6" s="120"/>
      <c r="XFD6" s="49" t="s">
        <v>399</v>
      </c>
    </row>
    <row r="7" spans="2:11 16384:16384" ht="45" x14ac:dyDescent="0.3">
      <c r="B7" s="163"/>
      <c r="C7" s="165" t="s">
        <v>178</v>
      </c>
      <c r="D7" s="7" t="s">
        <v>186</v>
      </c>
      <c r="E7" s="115" t="s">
        <v>180</v>
      </c>
      <c r="F7" s="2"/>
      <c r="G7" s="2"/>
      <c r="H7" s="2"/>
      <c r="I7" s="2"/>
      <c r="J7" s="120"/>
      <c r="K7" s="120"/>
      <c r="XFD7" s="49" t="s">
        <v>178</v>
      </c>
    </row>
    <row r="8" spans="2:11 16384:16384" ht="195" x14ac:dyDescent="0.3">
      <c r="B8" s="163"/>
      <c r="C8" s="166"/>
      <c r="D8" s="7" t="s">
        <v>181</v>
      </c>
      <c r="E8" s="115" t="s">
        <v>402</v>
      </c>
      <c r="F8" s="2"/>
      <c r="G8" s="2"/>
      <c r="H8" s="2"/>
      <c r="I8" s="2"/>
      <c r="J8" s="120"/>
      <c r="K8" s="120"/>
      <c r="XFD8" s="49" t="s">
        <v>178</v>
      </c>
    </row>
    <row r="9" spans="2:11 16384:16384" ht="45" x14ac:dyDescent="0.3">
      <c r="B9" s="164"/>
      <c r="C9" s="167"/>
      <c r="D9" s="7" t="s">
        <v>164</v>
      </c>
      <c r="E9" s="115" t="s">
        <v>183</v>
      </c>
      <c r="F9" s="2"/>
      <c r="G9" s="2"/>
      <c r="H9" s="2"/>
      <c r="I9" s="2"/>
      <c r="J9" s="120"/>
      <c r="K9" s="120"/>
      <c r="XFD9" s="49" t="s">
        <v>178</v>
      </c>
    </row>
    <row r="10" spans="2:11 16384:16384" ht="105" x14ac:dyDescent="0.3">
      <c r="B10" s="162" t="s">
        <v>184</v>
      </c>
      <c r="C10" s="165" t="s">
        <v>185</v>
      </c>
      <c r="D10" s="7" t="s">
        <v>186</v>
      </c>
      <c r="E10" s="115" t="s">
        <v>187</v>
      </c>
      <c r="F10" s="16"/>
      <c r="G10" s="16"/>
      <c r="H10" s="16"/>
      <c r="I10" s="16"/>
      <c r="J10" s="121"/>
      <c r="K10" s="121"/>
      <c r="XFD10" s="49" t="s">
        <v>185</v>
      </c>
    </row>
    <row r="11" spans="2:11 16384:16384" ht="105" x14ac:dyDescent="0.3">
      <c r="B11" s="163"/>
      <c r="C11" s="166"/>
      <c r="D11" s="7" t="s">
        <v>188</v>
      </c>
      <c r="E11" s="115" t="s">
        <v>189</v>
      </c>
      <c r="F11" s="2"/>
      <c r="G11" s="2"/>
      <c r="H11" s="2"/>
      <c r="I11" s="2"/>
      <c r="J11" s="120"/>
      <c r="K11" s="120"/>
      <c r="XFD11" s="49" t="s">
        <v>185</v>
      </c>
    </row>
    <row r="12" spans="2:11 16384:16384" ht="60" x14ac:dyDescent="0.3">
      <c r="B12" s="163"/>
      <c r="C12" s="166"/>
      <c r="D12" s="7" t="s">
        <v>166</v>
      </c>
      <c r="E12" s="115" t="s">
        <v>190</v>
      </c>
      <c r="F12" s="16"/>
      <c r="G12" s="16"/>
      <c r="H12" s="16"/>
      <c r="I12" s="16"/>
      <c r="J12" s="121"/>
      <c r="K12" s="121"/>
      <c r="XFD12" s="49" t="s">
        <v>185</v>
      </c>
    </row>
    <row r="13" spans="2:11 16384:16384" ht="210" x14ac:dyDescent="0.3">
      <c r="B13" s="163"/>
      <c r="C13" s="166"/>
      <c r="D13" s="7" t="s">
        <v>191</v>
      </c>
      <c r="E13" s="115" t="s">
        <v>192</v>
      </c>
      <c r="F13" s="2"/>
      <c r="G13" s="2"/>
      <c r="H13" s="2"/>
      <c r="I13" s="2"/>
      <c r="J13" s="120"/>
      <c r="K13" s="120"/>
      <c r="XFD13" s="49" t="s">
        <v>185</v>
      </c>
    </row>
    <row r="14" spans="2:11 16384:16384" ht="75" x14ac:dyDescent="0.3">
      <c r="B14" s="163"/>
      <c r="C14" s="166"/>
      <c r="D14" s="7" t="s">
        <v>193</v>
      </c>
      <c r="E14" s="115" t="s">
        <v>194</v>
      </c>
      <c r="F14" s="2"/>
      <c r="G14" s="2"/>
      <c r="H14" s="2"/>
      <c r="I14" s="2"/>
      <c r="J14" s="120"/>
      <c r="K14" s="120"/>
      <c r="XFD14" s="49" t="s">
        <v>185</v>
      </c>
    </row>
    <row r="15" spans="2:11 16384:16384" ht="150" x14ac:dyDescent="0.3">
      <c r="B15" s="163"/>
      <c r="C15" s="166"/>
      <c r="D15" s="7" t="s">
        <v>195</v>
      </c>
      <c r="E15" s="115" t="s">
        <v>196</v>
      </c>
      <c r="F15" s="2"/>
      <c r="G15" s="2"/>
      <c r="H15" s="2"/>
      <c r="I15" s="2"/>
      <c r="J15" s="120"/>
      <c r="K15" s="120"/>
      <c r="XFD15" s="49" t="s">
        <v>185</v>
      </c>
    </row>
    <row r="16" spans="2:11 16384:16384" ht="90" x14ac:dyDescent="0.3">
      <c r="B16" s="163"/>
      <c r="C16" s="166"/>
      <c r="D16" s="7" t="s">
        <v>197</v>
      </c>
      <c r="E16" s="115" t="s">
        <v>198</v>
      </c>
      <c r="F16" s="2"/>
      <c r="G16" s="2"/>
      <c r="H16" s="2"/>
      <c r="I16" s="2"/>
      <c r="J16" s="120"/>
      <c r="K16" s="120"/>
      <c r="XFD16" s="49" t="s">
        <v>185</v>
      </c>
    </row>
    <row r="17" spans="2:11 16384:16384" ht="210" x14ac:dyDescent="0.3">
      <c r="B17" s="163"/>
      <c r="C17" s="166"/>
      <c r="D17" s="7" t="s">
        <v>199</v>
      </c>
      <c r="E17" s="115" t="s">
        <v>200</v>
      </c>
      <c r="F17" s="2"/>
      <c r="G17" s="2"/>
      <c r="H17" s="2"/>
      <c r="I17" s="2"/>
      <c r="J17" s="120"/>
      <c r="K17" s="120"/>
      <c r="XFD17" s="49" t="s">
        <v>185</v>
      </c>
    </row>
    <row r="18" spans="2:11 16384:16384" ht="90" x14ac:dyDescent="0.3">
      <c r="B18" s="163"/>
      <c r="C18" s="166"/>
      <c r="D18" s="7" t="s">
        <v>201</v>
      </c>
      <c r="E18" s="115" t="s">
        <v>215</v>
      </c>
      <c r="F18" s="2" t="s">
        <v>203</v>
      </c>
      <c r="G18" s="2" t="s">
        <v>203</v>
      </c>
      <c r="H18" s="2" t="s">
        <v>203</v>
      </c>
      <c r="I18" s="2" t="s">
        <v>203</v>
      </c>
      <c r="J18" s="120" t="s">
        <v>203</v>
      </c>
      <c r="K18" s="119" t="s">
        <v>203</v>
      </c>
      <c r="XFD18" s="49" t="s">
        <v>185</v>
      </c>
    </row>
    <row r="19" spans="2:11 16384:16384" ht="360" x14ac:dyDescent="0.3">
      <c r="B19" s="163"/>
      <c r="C19" s="166"/>
      <c r="D19" s="7" t="s">
        <v>204</v>
      </c>
      <c r="E19" s="115" t="s">
        <v>403</v>
      </c>
      <c r="F19" s="2"/>
      <c r="G19" s="2"/>
      <c r="H19" s="2"/>
      <c r="I19" s="2"/>
      <c r="J19" s="120"/>
      <c r="K19" s="120"/>
      <c r="XFD19" s="49" t="s">
        <v>185</v>
      </c>
    </row>
    <row r="20" spans="2:11 16384:16384" ht="270" x14ac:dyDescent="0.3">
      <c r="B20" s="164"/>
      <c r="C20" s="167"/>
      <c r="D20" s="7" t="s">
        <v>206</v>
      </c>
      <c r="E20" s="115" t="s">
        <v>207</v>
      </c>
      <c r="F20" s="2"/>
      <c r="G20" s="2"/>
      <c r="H20" s="2"/>
      <c r="I20" s="2"/>
      <c r="J20" s="120"/>
      <c r="K20" s="120"/>
      <c r="XFD20" s="49" t="s">
        <v>185</v>
      </c>
    </row>
    <row r="100" spans="1:1" x14ac:dyDescent="0.25">
      <c r="A100" s="3">
        <v>6</v>
      </c>
    </row>
  </sheetData>
  <mergeCells count="7">
    <mergeCell ref="B3:E3"/>
    <mergeCell ref="B4:D4"/>
    <mergeCell ref="B5:B9"/>
    <mergeCell ref="B10:B20"/>
    <mergeCell ref="C5:C6"/>
    <mergeCell ref="C7:C9"/>
    <mergeCell ref="C10:C20"/>
  </mergeCells>
  <phoneticPr fontId="8" type="noConversion"/>
  <hyperlinks>
    <hyperlink ref="E8" r:id="rId1" display="En caso de que los servicios o comisiones a contratar se refieran a la utilización de infraestructura tecnológica o de telecomunicaciones, el aviso deberá contener adicionalmente un informe técnico que especifique el tipo de operaciones o servicios bancarios que habrán de celebrarse utilizando la base tecnológica que le sea proveída por terceros o comisionistas, así como la forma en que se dará cumplimiento a los lineamientos mínimos de operación y seguridad, que se señalan en el Anexo 52 de las presentes disposiciones." xr:uid="{5F57438D-30B5-4BD5-BD2F-FC0EF8D0E62B}"/>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Limpia">
                <anchor moveWithCells="1" sizeWithCells="1">
                  <from>
                    <xdr:col>5</xdr:col>
                    <xdr:colOff>104775</xdr:colOff>
                    <xdr:row>1</xdr:row>
                    <xdr:rowOff>76200</xdr:rowOff>
                  </from>
                  <to>
                    <xdr:col>6</xdr:col>
                    <xdr:colOff>190500</xdr:colOff>
                    <xdr:row>1</xdr:row>
                    <xdr:rowOff>476250</xdr:rowOff>
                  </to>
                </anchor>
              </controlPr>
            </control>
          </mc:Choice>
        </mc:AlternateContent>
        <mc:AlternateContent xmlns:mc="http://schemas.openxmlformats.org/markup-compatibility/2006">
          <mc:Choice Requires="x14">
            <control shapeId="13317" r:id="rId5" name="Button 5">
              <controlPr defaultSize="0" print="0" autoFill="0" autoPict="0" macro="[0]!ContinuarAspectos">
                <anchor moveWithCells="1" sizeWithCells="1">
                  <from>
                    <xdr:col>8</xdr:col>
                    <xdr:colOff>752475</xdr:colOff>
                    <xdr:row>1</xdr:row>
                    <xdr:rowOff>76200</xdr:rowOff>
                  </from>
                  <to>
                    <xdr:col>9</xdr:col>
                    <xdr:colOff>838200</xdr:colOff>
                    <xdr:row>1</xdr:row>
                    <xdr:rowOff>476250</xdr:rowOff>
                  </to>
                </anchor>
              </controlPr>
            </control>
          </mc:Choice>
        </mc:AlternateContent>
        <mc:AlternateContent xmlns:mc="http://schemas.openxmlformats.org/markup-compatibility/2006">
          <mc:Choice Requires="x14">
            <control shapeId="13318" r:id="rId6" name="Button 6">
              <controlPr defaultSize="0" print="0" autoFill="0" autoPict="0" macro="[0]!Regresar">
                <anchor moveWithCells="1" sizeWithCells="1">
                  <from>
                    <xdr:col>6</xdr:col>
                    <xdr:colOff>323850</xdr:colOff>
                    <xdr:row>1</xdr:row>
                    <xdr:rowOff>76200</xdr:rowOff>
                  </from>
                  <to>
                    <xdr:col>7</xdr:col>
                    <xdr:colOff>409575</xdr:colOff>
                    <xdr:row>1</xdr:row>
                    <xdr:rowOff>476250</xdr:rowOff>
                  </to>
                </anchor>
              </controlPr>
            </control>
          </mc:Choice>
        </mc:AlternateContent>
        <mc:AlternateContent xmlns:mc="http://schemas.openxmlformats.org/markup-compatibility/2006">
          <mc:Choice Requires="x14">
            <control shapeId="13319" r:id="rId7" name="Button 7">
              <controlPr defaultSize="0" print="0" autoFill="0" autoPict="0" macro="[0]!Referencias">
                <anchor moveWithCells="1" sizeWithCells="1">
                  <from>
                    <xdr:col>7</xdr:col>
                    <xdr:colOff>533400</xdr:colOff>
                    <xdr:row>1</xdr:row>
                    <xdr:rowOff>76200</xdr:rowOff>
                  </from>
                  <to>
                    <xdr:col>8</xdr:col>
                    <xdr:colOff>619125</xdr:colOff>
                    <xdr:row>1</xdr:row>
                    <xdr:rowOff>476250</xdr:rowOff>
                  </to>
                </anchor>
              </controlPr>
            </control>
          </mc:Choice>
        </mc:AlternateContent>
        <mc:AlternateContent xmlns:mc="http://schemas.openxmlformats.org/markup-compatibility/2006">
          <mc:Choice Requires="x14">
            <control shapeId="13320" r:id="rId8" name="Button 8">
              <controlPr defaultSize="0" print="0" autoFill="0" autoPict="0" macro="[0]!HojaOutsourcing">
                <anchor moveWithCells="1" sizeWithCells="1">
                  <from>
                    <xdr:col>9</xdr:col>
                    <xdr:colOff>971550</xdr:colOff>
                    <xdr:row>1</xdr:row>
                    <xdr:rowOff>76200</xdr:rowOff>
                  </from>
                  <to>
                    <xdr:col>9</xdr:col>
                    <xdr:colOff>2019300</xdr:colOff>
                    <xdr:row>1</xdr:row>
                    <xdr:rowOff>476250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FC2731C5-8E3C-473C-8424-0F3E0DCCCB22}">
          <x14:formula1>
            <xm:f>Aux!$H$2:$H$3</xm:f>
          </x14:formula1>
          <xm:sqref>F11 F5:F9 F13:F20</xm:sqref>
        </x14:dataValidation>
        <x14:dataValidation type="list" allowBlank="1" showDropDown="1" showInputMessage="1" showErrorMessage="1" xr:uid="{10FA8B77-BB05-4928-8FEC-0621903608D9}">
          <x14:formula1>
            <xm:f>Aux!A1048568</xm:f>
          </x14:formula1>
          <xm:sqref>F10:K10 F12:K12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025FE8-A598-43E6-BB35-F0D57D2938FB}">
  <sheetPr codeName="Hoja6"/>
  <dimension ref="A2:XFD100"/>
  <sheetViews>
    <sheetView topLeftCell="F1" workbookViewId="0">
      <pane ySplit="4" topLeftCell="A9" activePane="bottomLeft" state="frozen"/>
      <selection activeCell="C13" sqref="C13"/>
      <selection pane="bottomLeft" activeCell="J5" sqref="J5"/>
    </sheetView>
  </sheetViews>
  <sheetFormatPr baseColWidth="10" defaultColWidth="11.42578125" defaultRowHeight="15" x14ac:dyDescent="0.25"/>
  <cols>
    <col min="1" max="1" width="13.28515625" style="3" customWidth="1"/>
    <col min="2" max="3" width="11.42578125" style="6"/>
    <col min="4" max="4" width="13.7109375" style="6" customWidth="1"/>
    <col min="5" max="5" width="45.7109375" style="6" customWidth="1"/>
    <col min="6" max="6" width="13.85546875" style="3" customWidth="1"/>
    <col min="7" max="7" width="20.28515625" style="3" customWidth="1"/>
    <col min="8" max="9" width="13.85546875" style="3" customWidth="1"/>
    <col min="10" max="10" width="41.7109375" style="3" customWidth="1"/>
    <col min="11" max="11" width="48.7109375" style="3" customWidth="1"/>
    <col min="12" max="16384" width="11.42578125" style="3"/>
  </cols>
  <sheetData>
    <row r="2" spans="2:11 16384:16384" ht="46.5" customHeight="1" x14ac:dyDescent="0.25"/>
    <row r="3" spans="2:11 16384:16384" ht="19.5" customHeight="1" x14ac:dyDescent="0.3">
      <c r="B3" s="161" t="s">
        <v>147</v>
      </c>
      <c r="C3" s="161"/>
      <c r="D3" s="161"/>
      <c r="E3" s="161"/>
    </row>
    <row r="4" spans="2:11 16384:16384" ht="30" customHeight="1" x14ac:dyDescent="0.25">
      <c r="B4" s="174" t="s">
        <v>148</v>
      </c>
      <c r="C4" s="174"/>
      <c r="D4" s="174"/>
      <c r="E4" s="9" t="s">
        <v>149</v>
      </c>
      <c r="F4" s="9" t="s">
        <v>150</v>
      </c>
      <c r="G4" s="9" t="s">
        <v>151</v>
      </c>
      <c r="H4" s="9" t="s">
        <v>152</v>
      </c>
      <c r="I4" s="9" t="s">
        <v>153</v>
      </c>
      <c r="J4" s="8" t="s">
        <v>154</v>
      </c>
      <c r="K4" s="8" t="s">
        <v>155</v>
      </c>
    </row>
    <row r="5" spans="2:11 16384:16384" ht="150" x14ac:dyDescent="0.3">
      <c r="B5" s="162" t="s">
        <v>156</v>
      </c>
      <c r="C5" s="165" t="s">
        <v>399</v>
      </c>
      <c r="D5" s="5" t="s">
        <v>186</v>
      </c>
      <c r="E5" s="115" t="s">
        <v>400</v>
      </c>
      <c r="F5" s="2"/>
      <c r="G5" s="2"/>
      <c r="H5" s="2"/>
      <c r="I5" s="2"/>
      <c r="J5" s="120"/>
      <c r="K5" s="120"/>
      <c r="XFD5" s="49" t="s">
        <v>399</v>
      </c>
    </row>
    <row r="6" spans="2:11 16384:16384" ht="135" x14ac:dyDescent="0.3">
      <c r="B6" s="163"/>
      <c r="C6" s="167"/>
      <c r="D6" s="7" t="s">
        <v>204</v>
      </c>
      <c r="E6" s="115" t="s">
        <v>401</v>
      </c>
      <c r="F6" s="2"/>
      <c r="G6" s="2"/>
      <c r="H6" s="2"/>
      <c r="I6" s="2"/>
      <c r="J6" s="120"/>
      <c r="K6" s="120"/>
      <c r="XFD6" s="49" t="s">
        <v>399</v>
      </c>
    </row>
    <row r="7" spans="2:11 16384:16384" ht="45" x14ac:dyDescent="0.3">
      <c r="B7" s="163"/>
      <c r="C7" s="165" t="s">
        <v>178</v>
      </c>
      <c r="D7" s="7" t="s">
        <v>186</v>
      </c>
      <c r="E7" s="115" t="s">
        <v>180</v>
      </c>
      <c r="F7" s="2"/>
      <c r="G7" s="2"/>
      <c r="H7" s="2"/>
      <c r="I7" s="2"/>
      <c r="J7" s="120"/>
      <c r="K7" s="120"/>
      <c r="XFD7" s="49" t="s">
        <v>178</v>
      </c>
    </row>
    <row r="8" spans="2:11 16384:16384" ht="195" x14ac:dyDescent="0.3">
      <c r="B8" s="163"/>
      <c r="C8" s="166"/>
      <c r="D8" s="7" t="s">
        <v>181</v>
      </c>
      <c r="E8" s="115" t="s">
        <v>404</v>
      </c>
      <c r="F8" s="2"/>
      <c r="G8" s="2"/>
      <c r="H8" s="2"/>
      <c r="I8" s="2"/>
      <c r="J8" s="120"/>
      <c r="K8" s="120"/>
      <c r="XFD8" s="49" t="s">
        <v>178</v>
      </c>
    </row>
    <row r="9" spans="2:11 16384:16384" ht="45" x14ac:dyDescent="0.3">
      <c r="B9" s="164"/>
      <c r="C9" s="167"/>
      <c r="D9" s="7" t="s">
        <v>164</v>
      </c>
      <c r="E9" s="115" t="s">
        <v>183</v>
      </c>
      <c r="F9" s="2"/>
      <c r="G9" s="2"/>
      <c r="H9" s="2"/>
      <c r="I9" s="2"/>
      <c r="J9" s="120"/>
      <c r="K9" s="120"/>
      <c r="XFD9" s="49" t="s">
        <v>178</v>
      </c>
    </row>
    <row r="10" spans="2:11 16384:16384" ht="105" x14ac:dyDescent="0.3">
      <c r="B10" s="162" t="s">
        <v>184</v>
      </c>
      <c r="C10" s="165" t="s">
        <v>185</v>
      </c>
      <c r="D10" s="7" t="s">
        <v>186</v>
      </c>
      <c r="E10" s="115" t="s">
        <v>187</v>
      </c>
      <c r="F10" s="16"/>
      <c r="G10" s="16"/>
      <c r="H10" s="16"/>
      <c r="I10" s="16"/>
      <c r="J10" s="121"/>
      <c r="K10" s="121"/>
      <c r="XFD10" s="49" t="s">
        <v>185</v>
      </c>
    </row>
    <row r="11" spans="2:11 16384:16384" ht="105" x14ac:dyDescent="0.3">
      <c r="B11" s="163"/>
      <c r="C11" s="166"/>
      <c r="D11" s="7" t="s">
        <v>188</v>
      </c>
      <c r="E11" s="115" t="s">
        <v>189</v>
      </c>
      <c r="F11" s="2"/>
      <c r="G11" s="2"/>
      <c r="H11" s="2"/>
      <c r="I11" s="2"/>
      <c r="J11" s="120"/>
      <c r="K11" s="120"/>
      <c r="XFD11" s="49" t="s">
        <v>185</v>
      </c>
    </row>
    <row r="12" spans="2:11 16384:16384" ht="195" x14ac:dyDescent="0.3">
      <c r="B12" s="163"/>
      <c r="C12" s="166"/>
      <c r="D12" s="7" t="s">
        <v>211</v>
      </c>
      <c r="E12" s="115" t="s">
        <v>212</v>
      </c>
      <c r="F12" s="2"/>
      <c r="G12" s="2"/>
      <c r="H12" s="2"/>
      <c r="I12" s="2"/>
      <c r="J12" s="120"/>
      <c r="K12" s="120"/>
      <c r="XFD12" s="49" t="s">
        <v>185</v>
      </c>
    </row>
    <row r="13" spans="2:11 16384:16384" ht="105" x14ac:dyDescent="0.3">
      <c r="B13" s="163"/>
      <c r="C13" s="166"/>
      <c r="D13" s="7" t="s">
        <v>213</v>
      </c>
      <c r="E13" s="115" t="s">
        <v>214</v>
      </c>
      <c r="F13" s="2"/>
      <c r="G13" s="2"/>
      <c r="H13" s="2"/>
      <c r="I13" s="2"/>
      <c r="J13" s="120"/>
      <c r="K13" s="120"/>
      <c r="XFD13" s="49" t="s">
        <v>185</v>
      </c>
    </row>
    <row r="14" spans="2:11 16384:16384" ht="60" x14ac:dyDescent="0.3">
      <c r="B14" s="163"/>
      <c r="C14" s="166"/>
      <c r="D14" s="7" t="s">
        <v>166</v>
      </c>
      <c r="E14" s="115" t="s">
        <v>190</v>
      </c>
      <c r="F14" s="16"/>
      <c r="G14" s="16"/>
      <c r="H14" s="16"/>
      <c r="I14" s="16"/>
      <c r="J14" s="121"/>
      <c r="K14" s="121"/>
      <c r="XFD14" s="49" t="s">
        <v>185</v>
      </c>
    </row>
    <row r="15" spans="2:11 16384:16384" ht="210" x14ac:dyDescent="0.3">
      <c r="B15" s="163"/>
      <c r="C15" s="166"/>
      <c r="D15" s="7" t="s">
        <v>191</v>
      </c>
      <c r="E15" s="115" t="s">
        <v>192</v>
      </c>
      <c r="F15" s="2"/>
      <c r="G15" s="2"/>
      <c r="H15" s="2"/>
      <c r="I15" s="2"/>
      <c r="J15" s="120"/>
      <c r="K15" s="120"/>
      <c r="XFD15" s="49" t="s">
        <v>185</v>
      </c>
    </row>
    <row r="16" spans="2:11 16384:16384" ht="75" x14ac:dyDescent="0.3">
      <c r="B16" s="163"/>
      <c r="C16" s="166"/>
      <c r="D16" s="7" t="s">
        <v>193</v>
      </c>
      <c r="E16" s="115" t="s">
        <v>194</v>
      </c>
      <c r="F16" s="2"/>
      <c r="G16" s="2"/>
      <c r="H16" s="2"/>
      <c r="I16" s="2"/>
      <c r="J16" s="120"/>
      <c r="K16" s="120"/>
      <c r="XFD16" s="49" t="s">
        <v>185</v>
      </c>
    </row>
    <row r="17" spans="2:11 16384:16384" ht="150" x14ac:dyDescent="0.3">
      <c r="B17" s="163"/>
      <c r="C17" s="166"/>
      <c r="D17" s="7" t="s">
        <v>195</v>
      </c>
      <c r="E17" s="115" t="s">
        <v>196</v>
      </c>
      <c r="F17" s="2"/>
      <c r="G17" s="2"/>
      <c r="H17" s="2"/>
      <c r="I17" s="2"/>
      <c r="J17" s="120"/>
      <c r="K17" s="120"/>
      <c r="XFD17" s="49" t="s">
        <v>185</v>
      </c>
    </row>
    <row r="18" spans="2:11 16384:16384" ht="90" x14ac:dyDescent="0.3">
      <c r="B18" s="163"/>
      <c r="C18" s="166"/>
      <c r="D18" s="7" t="s">
        <v>197</v>
      </c>
      <c r="E18" s="115" t="s">
        <v>198</v>
      </c>
      <c r="F18" s="2"/>
      <c r="G18" s="2"/>
      <c r="H18" s="2"/>
      <c r="I18" s="2"/>
      <c r="J18" s="120"/>
      <c r="K18" s="120"/>
      <c r="XFD18" s="49" t="s">
        <v>185</v>
      </c>
    </row>
    <row r="19" spans="2:11 16384:16384" ht="210" x14ac:dyDescent="0.3">
      <c r="B19" s="163"/>
      <c r="C19" s="166"/>
      <c r="D19" s="7" t="s">
        <v>199</v>
      </c>
      <c r="E19" s="115" t="s">
        <v>200</v>
      </c>
      <c r="F19" s="2"/>
      <c r="G19" s="2"/>
      <c r="H19" s="2"/>
      <c r="I19" s="2"/>
      <c r="J19" s="120"/>
      <c r="K19" s="120"/>
      <c r="XFD19" s="49" t="s">
        <v>185</v>
      </c>
    </row>
    <row r="20" spans="2:11 16384:16384" ht="90" x14ac:dyDescent="0.3">
      <c r="B20" s="163"/>
      <c r="C20" s="166"/>
      <c r="D20" s="7" t="s">
        <v>201</v>
      </c>
      <c r="E20" s="115" t="s">
        <v>215</v>
      </c>
      <c r="F20" s="2"/>
      <c r="G20" s="2"/>
      <c r="H20" s="2"/>
      <c r="I20" s="2"/>
      <c r="J20" s="120"/>
      <c r="K20" s="119"/>
      <c r="XFD20" s="49" t="s">
        <v>185</v>
      </c>
    </row>
    <row r="21" spans="2:11 16384:16384" ht="90" x14ac:dyDescent="0.3">
      <c r="B21" s="163"/>
      <c r="C21" s="166"/>
      <c r="D21" s="7" t="s">
        <v>216</v>
      </c>
      <c r="E21" s="115" t="s">
        <v>217</v>
      </c>
      <c r="F21" s="2"/>
      <c r="G21" s="2"/>
      <c r="H21" s="2"/>
      <c r="I21" s="2"/>
      <c r="J21" s="120"/>
      <c r="K21" s="119"/>
      <c r="XFD21" s="49" t="s">
        <v>185</v>
      </c>
    </row>
    <row r="22" spans="2:11 16384:16384" ht="75" x14ac:dyDescent="0.3">
      <c r="B22" s="163"/>
      <c r="C22" s="166"/>
      <c r="D22" s="7" t="s">
        <v>218</v>
      </c>
      <c r="E22" s="117" t="s">
        <v>219</v>
      </c>
      <c r="F22" s="2"/>
      <c r="G22" s="2"/>
      <c r="H22" s="2"/>
      <c r="I22" s="2"/>
      <c r="J22" s="120"/>
      <c r="K22" s="120"/>
      <c r="XFD22" s="49" t="s">
        <v>185</v>
      </c>
    </row>
    <row r="23" spans="2:11 16384:16384" ht="45" x14ac:dyDescent="0.3">
      <c r="B23" s="163"/>
      <c r="C23" s="166"/>
      <c r="D23" s="7" t="s">
        <v>220</v>
      </c>
      <c r="E23" s="115" t="s">
        <v>221</v>
      </c>
      <c r="F23" s="2"/>
      <c r="G23" s="2"/>
      <c r="H23" s="2"/>
      <c r="I23" s="2"/>
      <c r="J23" s="120"/>
      <c r="K23" s="120"/>
      <c r="XFD23" s="49" t="s">
        <v>185</v>
      </c>
    </row>
    <row r="24" spans="2:11 16384:16384" ht="165" x14ac:dyDescent="0.3">
      <c r="B24" s="163"/>
      <c r="C24" s="166"/>
      <c r="D24" s="7" t="s">
        <v>222</v>
      </c>
      <c r="E24" s="115" t="s">
        <v>223</v>
      </c>
      <c r="F24" s="2"/>
      <c r="G24" s="2"/>
      <c r="H24" s="2"/>
      <c r="I24" s="2"/>
      <c r="J24" s="120"/>
      <c r="K24" s="120"/>
      <c r="XFD24" s="49" t="s">
        <v>185</v>
      </c>
    </row>
    <row r="25" spans="2:11 16384:16384" ht="165" x14ac:dyDescent="0.3">
      <c r="B25" s="163"/>
      <c r="C25" s="166"/>
      <c r="D25" s="7" t="s">
        <v>224</v>
      </c>
      <c r="E25" s="115" t="s">
        <v>225</v>
      </c>
      <c r="F25" s="2"/>
      <c r="G25" s="2"/>
      <c r="H25" s="2"/>
      <c r="I25" s="2"/>
      <c r="J25" s="120"/>
      <c r="K25" s="120"/>
      <c r="XFD25" s="49" t="s">
        <v>185</v>
      </c>
    </row>
    <row r="26" spans="2:11 16384:16384" ht="90" x14ac:dyDescent="0.3">
      <c r="B26" s="163"/>
      <c r="C26" s="166"/>
      <c r="D26" s="7" t="s">
        <v>226</v>
      </c>
      <c r="E26" s="117" t="s">
        <v>227</v>
      </c>
      <c r="F26" s="2"/>
      <c r="G26" s="2"/>
      <c r="H26" s="2"/>
      <c r="I26" s="2"/>
      <c r="J26" s="120"/>
      <c r="K26" s="120"/>
      <c r="XFD26" s="49" t="s">
        <v>185</v>
      </c>
    </row>
    <row r="27" spans="2:11 16384:16384" ht="60" x14ac:dyDescent="0.3">
      <c r="B27" s="163"/>
      <c r="C27" s="166"/>
      <c r="D27" s="7" t="s">
        <v>228</v>
      </c>
      <c r="E27" s="115" t="s">
        <v>229</v>
      </c>
      <c r="F27" s="2"/>
      <c r="G27" s="2"/>
      <c r="H27" s="2"/>
      <c r="I27" s="2"/>
      <c r="J27" s="120"/>
      <c r="K27" s="120"/>
      <c r="XFD27" s="49" t="s">
        <v>185</v>
      </c>
    </row>
    <row r="28" spans="2:11 16384:16384" ht="150" x14ac:dyDescent="0.3">
      <c r="B28" s="163"/>
      <c r="C28" s="166"/>
      <c r="D28" s="7" t="s">
        <v>230</v>
      </c>
      <c r="E28" s="115" t="s">
        <v>231</v>
      </c>
      <c r="F28" s="2"/>
      <c r="G28" s="2"/>
      <c r="H28" s="2"/>
      <c r="I28" s="2"/>
      <c r="J28" s="120"/>
      <c r="K28" s="120"/>
      <c r="XFD28" s="49" t="s">
        <v>185</v>
      </c>
    </row>
    <row r="29" spans="2:11 16384:16384" ht="120" x14ac:dyDescent="0.3">
      <c r="B29" s="163"/>
      <c r="C29" s="166"/>
      <c r="D29" s="7" t="s">
        <v>232</v>
      </c>
      <c r="E29" s="115" t="s">
        <v>233</v>
      </c>
      <c r="F29" s="2"/>
      <c r="G29" s="2"/>
      <c r="H29" s="2"/>
      <c r="I29" s="2"/>
      <c r="J29" s="120"/>
      <c r="K29" s="120"/>
      <c r="XFD29" s="49" t="s">
        <v>185</v>
      </c>
    </row>
    <row r="30" spans="2:11 16384:16384" ht="315" x14ac:dyDescent="0.3">
      <c r="B30" s="163"/>
      <c r="C30" s="166"/>
      <c r="D30" s="7" t="s">
        <v>234</v>
      </c>
      <c r="E30" s="115" t="s">
        <v>235</v>
      </c>
      <c r="F30" s="2"/>
      <c r="G30" s="2"/>
      <c r="H30" s="2"/>
      <c r="I30" s="2"/>
      <c r="J30" s="120"/>
      <c r="K30" s="120"/>
      <c r="XFD30" s="49" t="s">
        <v>185</v>
      </c>
    </row>
    <row r="31" spans="2:11 16384:16384" ht="120" x14ac:dyDescent="0.3">
      <c r="B31" s="163"/>
      <c r="C31" s="166"/>
      <c r="D31" s="7" t="s">
        <v>236</v>
      </c>
      <c r="E31" s="115" t="s">
        <v>237</v>
      </c>
      <c r="F31" s="2"/>
      <c r="G31" s="2"/>
      <c r="H31" s="2"/>
      <c r="I31" s="2"/>
      <c r="J31" s="120"/>
      <c r="K31" s="120"/>
      <c r="XFD31" s="49" t="s">
        <v>185</v>
      </c>
    </row>
    <row r="32" spans="2:11 16384:16384" ht="60" x14ac:dyDescent="0.3">
      <c r="B32" s="163"/>
      <c r="C32" s="166"/>
      <c r="D32" s="7" t="s">
        <v>238</v>
      </c>
      <c r="E32" s="117" t="s">
        <v>239</v>
      </c>
      <c r="F32" s="2"/>
      <c r="G32" s="2"/>
      <c r="H32" s="2"/>
      <c r="I32" s="2"/>
      <c r="J32" s="120"/>
      <c r="K32" s="120"/>
      <c r="XFD32" s="49" t="s">
        <v>185</v>
      </c>
    </row>
    <row r="33" spans="2:11 16384:16384" ht="45" x14ac:dyDescent="0.3">
      <c r="B33" s="163"/>
      <c r="C33" s="166"/>
      <c r="D33" s="7" t="s">
        <v>240</v>
      </c>
      <c r="E33" s="117" t="s">
        <v>241</v>
      </c>
      <c r="F33" s="2"/>
      <c r="G33" s="2"/>
      <c r="H33" s="2"/>
      <c r="I33" s="2"/>
      <c r="J33" s="120"/>
      <c r="K33" s="120"/>
      <c r="XFD33" s="49" t="s">
        <v>185</v>
      </c>
    </row>
    <row r="34" spans="2:11 16384:16384" ht="90" x14ac:dyDescent="0.3">
      <c r="B34" s="163"/>
      <c r="C34" s="166"/>
      <c r="D34" s="7" t="s">
        <v>242</v>
      </c>
      <c r="E34" s="117" t="s">
        <v>243</v>
      </c>
      <c r="F34" s="2"/>
      <c r="G34" s="2"/>
      <c r="H34" s="2"/>
      <c r="I34" s="2"/>
      <c r="J34" s="120"/>
      <c r="K34" s="120"/>
      <c r="XFD34" s="49" t="s">
        <v>185</v>
      </c>
    </row>
    <row r="35" spans="2:11 16384:16384" ht="45" x14ac:dyDescent="0.3">
      <c r="B35" s="163"/>
      <c r="C35" s="166"/>
      <c r="D35" s="7" t="s">
        <v>244</v>
      </c>
      <c r="E35" s="117" t="s">
        <v>245</v>
      </c>
      <c r="F35" s="2"/>
      <c r="G35" s="2"/>
      <c r="H35" s="2"/>
      <c r="I35" s="2"/>
      <c r="J35" s="120"/>
      <c r="K35" s="120"/>
      <c r="XFD35" s="49" t="s">
        <v>185</v>
      </c>
    </row>
    <row r="36" spans="2:11 16384:16384" ht="30" x14ac:dyDescent="0.3">
      <c r="B36" s="163"/>
      <c r="C36" s="166"/>
      <c r="D36" s="7" t="s">
        <v>246</v>
      </c>
      <c r="E36" s="117" t="s">
        <v>247</v>
      </c>
      <c r="F36" s="2"/>
      <c r="G36" s="2"/>
      <c r="H36" s="2"/>
      <c r="I36" s="2"/>
      <c r="J36" s="120"/>
      <c r="K36" s="120"/>
      <c r="XFD36" s="49" t="s">
        <v>185</v>
      </c>
    </row>
    <row r="37" spans="2:11 16384:16384" ht="270" x14ac:dyDescent="0.3">
      <c r="B37" s="164"/>
      <c r="C37" s="167"/>
      <c r="D37" s="7" t="s">
        <v>206</v>
      </c>
      <c r="E37" s="115" t="s">
        <v>248</v>
      </c>
      <c r="F37" s="2"/>
      <c r="G37" s="2"/>
      <c r="H37" s="2"/>
      <c r="I37" s="2"/>
      <c r="J37" s="120"/>
      <c r="K37" s="120"/>
      <c r="XFD37" s="49" t="s">
        <v>185</v>
      </c>
    </row>
    <row r="50" spans="6:9" x14ac:dyDescent="0.25">
      <c r="F50" s="6"/>
      <c r="G50" s="6"/>
      <c r="H50" s="6"/>
      <c r="I50" s="6"/>
    </row>
    <row r="100" spans="1:1" x14ac:dyDescent="0.25">
      <c r="A100" s="3">
        <v>7</v>
      </c>
    </row>
  </sheetData>
  <mergeCells count="7">
    <mergeCell ref="B3:E3"/>
    <mergeCell ref="B4:D4"/>
    <mergeCell ref="B5:B9"/>
    <mergeCell ref="B10:B37"/>
    <mergeCell ref="C5:C6"/>
    <mergeCell ref="C7:C9"/>
    <mergeCell ref="C10:C37"/>
  </mergeCells>
  <hyperlinks>
    <hyperlink ref="E8" r:id="rId1" display="En caso de que los servicios o comisiones a contratar se refieran a la utilización de infraestructura tecnológica o de telecomunicaciones, el aviso deberá contener adicionalmente un informe técnico que especifique el tipo de operaciones o servicios bancarios que habrán de celebrarse utilizando la base tecnológica que le sea proveída por terceros o comisionistas, así como la forma en que se dará cumplimiento a los lineamientos mínimos de operación y seguridad, que se señalan en el Anexo 52 de las presentes disposiciones." xr:uid="{7D0577B4-46B9-4E04-814C-8695E67F3A34}"/>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Inicio">
                <anchor moveWithCells="1" sizeWithCells="1">
                  <from>
                    <xdr:col>5</xdr:col>
                    <xdr:colOff>104775</xdr:colOff>
                    <xdr:row>1</xdr:row>
                    <xdr:rowOff>76200</xdr:rowOff>
                  </from>
                  <to>
                    <xdr:col>6</xdr:col>
                    <xdr:colOff>190500</xdr:colOff>
                    <xdr:row>1</xdr:row>
                    <xdr:rowOff>476250</xdr:rowOff>
                  </to>
                </anchor>
              </controlPr>
            </control>
          </mc:Choice>
        </mc:AlternateContent>
        <mc:AlternateContent xmlns:mc="http://schemas.openxmlformats.org/markup-compatibility/2006">
          <mc:Choice Requires="x14">
            <control shapeId="14343" r:id="rId5" name="Button 7">
              <controlPr defaultSize="0" print="0" autoFill="0" autoPict="0" macro="[0]!ContinuarAspectos">
                <anchor moveWithCells="1" sizeWithCells="1">
                  <from>
                    <xdr:col>8</xdr:col>
                    <xdr:colOff>323850</xdr:colOff>
                    <xdr:row>1</xdr:row>
                    <xdr:rowOff>76200</xdr:rowOff>
                  </from>
                  <to>
                    <xdr:col>9</xdr:col>
                    <xdr:colOff>409575</xdr:colOff>
                    <xdr:row>1</xdr:row>
                    <xdr:rowOff>476250</xdr:rowOff>
                  </to>
                </anchor>
              </controlPr>
            </control>
          </mc:Choice>
        </mc:AlternateContent>
        <mc:AlternateContent xmlns:mc="http://schemas.openxmlformats.org/markup-compatibility/2006">
          <mc:Choice Requires="x14">
            <control shapeId="14344" r:id="rId6" name="Button 8">
              <controlPr defaultSize="0" print="0" autoFill="0" autoPict="0" macro="[0]!Regresar">
                <anchor moveWithCells="1" sizeWithCells="1">
                  <from>
                    <xdr:col>6</xdr:col>
                    <xdr:colOff>323850</xdr:colOff>
                    <xdr:row>1</xdr:row>
                    <xdr:rowOff>76200</xdr:rowOff>
                  </from>
                  <to>
                    <xdr:col>6</xdr:col>
                    <xdr:colOff>1333500</xdr:colOff>
                    <xdr:row>1</xdr:row>
                    <xdr:rowOff>476250</xdr:rowOff>
                  </to>
                </anchor>
              </controlPr>
            </control>
          </mc:Choice>
        </mc:AlternateContent>
        <mc:AlternateContent xmlns:mc="http://schemas.openxmlformats.org/markup-compatibility/2006">
          <mc:Choice Requires="x14">
            <control shapeId="14345" r:id="rId7" name="Button 9">
              <controlPr defaultSize="0" print="0" autoFill="0" autoPict="0" macro="[0]!Referencias">
                <anchor moveWithCells="1" sizeWithCells="1">
                  <from>
                    <xdr:col>7</xdr:col>
                    <xdr:colOff>104775</xdr:colOff>
                    <xdr:row>1</xdr:row>
                    <xdr:rowOff>76200</xdr:rowOff>
                  </from>
                  <to>
                    <xdr:col>8</xdr:col>
                    <xdr:colOff>190500</xdr:colOff>
                    <xdr:row>1</xdr:row>
                    <xdr:rowOff>476250</xdr:rowOff>
                  </to>
                </anchor>
              </controlPr>
            </control>
          </mc:Choice>
        </mc:AlternateContent>
        <mc:AlternateContent xmlns:mc="http://schemas.openxmlformats.org/markup-compatibility/2006">
          <mc:Choice Requires="x14">
            <control shapeId="14347" r:id="rId8" name="Button 11">
              <controlPr defaultSize="0" print="0" autoFill="0" autoPict="0" macro="[0]!HojaOutsourcing">
                <anchor moveWithCells="1" sizeWithCells="1">
                  <from>
                    <xdr:col>9</xdr:col>
                    <xdr:colOff>542925</xdr:colOff>
                    <xdr:row>1</xdr:row>
                    <xdr:rowOff>76200</xdr:rowOff>
                  </from>
                  <to>
                    <xdr:col>9</xdr:col>
                    <xdr:colOff>1590675</xdr:colOff>
                    <xdr:row>1</xdr:row>
                    <xdr:rowOff>476250</xdr:rowOff>
                  </to>
                </anchor>
              </controlPr>
            </control>
          </mc:Choice>
        </mc:AlternateContent>
        <mc:AlternateContent xmlns:mc="http://schemas.openxmlformats.org/markup-compatibility/2006">
          <mc:Choice Requires="x14">
            <control shapeId="14353" r:id="rId9" name="Button 17">
              <controlPr defaultSize="0" print="0" autoFill="0" autoPict="0" macro="[0]!Limpia">
                <anchor moveWithCells="1" sizeWithCells="1">
                  <from>
                    <xdr:col>5</xdr:col>
                    <xdr:colOff>161925</xdr:colOff>
                    <xdr:row>1</xdr:row>
                    <xdr:rowOff>76200</xdr:rowOff>
                  </from>
                  <to>
                    <xdr:col>6</xdr:col>
                    <xdr:colOff>247650</xdr:colOff>
                    <xdr:row>1</xdr:row>
                    <xdr:rowOff>476250</xdr:rowOff>
                  </to>
                </anchor>
              </controlPr>
            </control>
          </mc:Choice>
        </mc:AlternateContent>
        <mc:AlternateContent xmlns:mc="http://schemas.openxmlformats.org/markup-compatibility/2006">
          <mc:Choice Requires="x14">
            <control shapeId="14354" r:id="rId10" name="Button 18">
              <controlPr defaultSize="0" print="0" autoFill="0" autoPict="0" macro="[0]!ContinuarAspectos">
                <anchor moveWithCells="1" sizeWithCells="1">
                  <from>
                    <xdr:col>8</xdr:col>
                    <xdr:colOff>381000</xdr:colOff>
                    <xdr:row>1</xdr:row>
                    <xdr:rowOff>76200</xdr:rowOff>
                  </from>
                  <to>
                    <xdr:col>9</xdr:col>
                    <xdr:colOff>466725</xdr:colOff>
                    <xdr:row>1</xdr:row>
                    <xdr:rowOff>476250</xdr:rowOff>
                  </to>
                </anchor>
              </controlPr>
            </control>
          </mc:Choice>
        </mc:AlternateContent>
        <mc:AlternateContent xmlns:mc="http://schemas.openxmlformats.org/markup-compatibility/2006">
          <mc:Choice Requires="x14">
            <control shapeId="14355" r:id="rId11" name="Button 19">
              <controlPr defaultSize="0" print="0" autoFill="0" autoPict="0" macro="[0]!Regresar">
                <anchor moveWithCells="1" sizeWithCells="1">
                  <from>
                    <xdr:col>6</xdr:col>
                    <xdr:colOff>381000</xdr:colOff>
                    <xdr:row>1</xdr:row>
                    <xdr:rowOff>76200</xdr:rowOff>
                  </from>
                  <to>
                    <xdr:col>7</xdr:col>
                    <xdr:colOff>38100</xdr:colOff>
                    <xdr:row>1</xdr:row>
                    <xdr:rowOff>476250</xdr:rowOff>
                  </to>
                </anchor>
              </controlPr>
            </control>
          </mc:Choice>
        </mc:AlternateContent>
        <mc:AlternateContent xmlns:mc="http://schemas.openxmlformats.org/markup-compatibility/2006">
          <mc:Choice Requires="x14">
            <control shapeId="14356" r:id="rId12" name="Button 20">
              <controlPr defaultSize="0" print="0" autoFill="0" autoPict="0" macro="[0]!Referencias">
                <anchor moveWithCells="1" sizeWithCells="1">
                  <from>
                    <xdr:col>7</xdr:col>
                    <xdr:colOff>161925</xdr:colOff>
                    <xdr:row>1</xdr:row>
                    <xdr:rowOff>76200</xdr:rowOff>
                  </from>
                  <to>
                    <xdr:col>8</xdr:col>
                    <xdr:colOff>247650</xdr:colOff>
                    <xdr:row>1</xdr:row>
                    <xdr:rowOff>476250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107F2883-8C40-4CAA-9035-272075035762}">
          <x14:formula1>
            <xm:f>Aux!$H$2:$H$3</xm:f>
          </x14:formula1>
          <xm:sqref>F11:F13 F5:F9 F15:F37</xm:sqref>
        </x14:dataValidation>
        <x14:dataValidation type="list" allowBlank="1" showDropDown="1" showInputMessage="1" showErrorMessage="1" xr:uid="{AFDA9DFD-E7CE-4E92-AB0C-11E55121C518}">
          <x14:formula1>
            <xm:f>Aux!A1048568</xm:f>
          </x14:formula1>
          <xm:sqref>F10:K10 F14:K14</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0550DC-7215-4D5D-9411-0D097ED6AD8B}">
  <sheetPr codeName="Hoja18"/>
  <dimension ref="A1:XFD100"/>
  <sheetViews>
    <sheetView showGridLines="0" zoomScale="80" zoomScaleNormal="80" workbookViewId="0">
      <pane ySplit="3" topLeftCell="A22" activePane="bottomLeft" state="frozen"/>
      <selection activeCell="C13" sqref="C13"/>
      <selection pane="bottomLeft" activeCell="I13" sqref="I13"/>
    </sheetView>
  </sheetViews>
  <sheetFormatPr baseColWidth="10" defaultColWidth="11.42578125" defaultRowHeight="18" x14ac:dyDescent="0.35"/>
  <cols>
    <col min="1" max="1" width="11.42578125" style="36"/>
    <col min="2" max="2" width="4.140625" style="36" customWidth="1"/>
    <col min="3" max="3" width="42.140625" style="36" customWidth="1"/>
    <col min="4" max="4" width="13.85546875" style="36" customWidth="1"/>
    <col min="5" max="5" width="25.5703125" style="36" customWidth="1"/>
    <col min="6" max="6" width="13.85546875" style="36" customWidth="1"/>
    <col min="7" max="7" width="15.28515625" style="36" customWidth="1"/>
    <col min="8" max="8" width="74.5703125" style="36" customWidth="1"/>
    <col min="9" max="9" width="48.7109375" style="36" customWidth="1"/>
    <col min="10" max="10" width="4.140625" style="36" customWidth="1"/>
    <col min="11" max="16384" width="11.42578125" style="36"/>
  </cols>
  <sheetData>
    <row r="1" spans="2:10 16384:16384" ht="24" customHeight="1" x14ac:dyDescent="0.35">
      <c r="C1" s="58"/>
      <c r="D1" s="58"/>
      <c r="E1" s="58"/>
      <c r="F1" s="58"/>
      <c r="G1" s="58"/>
      <c r="H1" s="58"/>
      <c r="I1" s="58"/>
    </row>
    <row r="2" spans="2:10 16384:16384" ht="46.5" customHeight="1" x14ac:dyDescent="0.35">
      <c r="C2" s="58" t="s">
        <v>405</v>
      </c>
      <c r="D2" s="47"/>
      <c r="E2" s="47"/>
      <c r="F2" s="47"/>
      <c r="G2" s="47"/>
      <c r="H2" s="47"/>
      <c r="I2" s="47"/>
    </row>
    <row r="3" spans="2:10 16384:16384" ht="18.75" thickBot="1" x14ac:dyDescent="0.4"/>
    <row r="4" spans="2:10 16384:16384" ht="18.75" thickTop="1" x14ac:dyDescent="0.35">
      <c r="B4" s="37"/>
      <c r="C4" s="38"/>
      <c r="D4" s="38"/>
      <c r="E4" s="38"/>
      <c r="F4" s="38"/>
      <c r="G4" s="38"/>
      <c r="H4" s="38"/>
      <c r="I4" s="38"/>
      <c r="J4" s="39"/>
    </row>
    <row r="5" spans="2:10 16384:16384" ht="21" thickBot="1" x14ac:dyDescent="0.4">
      <c r="B5" s="40"/>
      <c r="C5" s="41" t="s">
        <v>406</v>
      </c>
      <c r="J5" s="42"/>
    </row>
    <row r="6" spans="2:10 16384:16384" ht="18.75" thickTop="1" x14ac:dyDescent="0.35">
      <c r="B6" s="40"/>
      <c r="J6" s="42"/>
    </row>
    <row r="7" spans="2:10 16384:16384" ht="30" customHeight="1" x14ac:dyDescent="0.35">
      <c r="B7" s="40"/>
      <c r="C7" s="9"/>
      <c r="D7" s="9" t="s">
        <v>150</v>
      </c>
      <c r="E7" s="9" t="s">
        <v>151</v>
      </c>
      <c r="F7" s="9" t="s">
        <v>152</v>
      </c>
      <c r="G7" s="9" t="s">
        <v>153</v>
      </c>
      <c r="H7" s="8" t="s">
        <v>154</v>
      </c>
      <c r="I7" s="8" t="s">
        <v>155</v>
      </c>
      <c r="J7" s="42"/>
    </row>
    <row r="8" spans="2:10 16384:16384" ht="156" customHeight="1" x14ac:dyDescent="0.35">
      <c r="B8" s="40"/>
      <c r="C8" s="147" t="s">
        <v>336</v>
      </c>
      <c r="D8" s="141" t="s">
        <v>44</v>
      </c>
      <c r="E8" s="148" t="s">
        <v>451</v>
      </c>
      <c r="F8" s="149" t="s">
        <v>452</v>
      </c>
      <c r="G8" s="149" t="s">
        <v>453</v>
      </c>
      <c r="H8" s="150" t="s">
        <v>483</v>
      </c>
      <c r="I8" s="150"/>
      <c r="J8" s="42"/>
      <c r="XFD8" s="36" t="s">
        <v>407</v>
      </c>
    </row>
    <row r="9" spans="2:10 16384:16384" ht="69.95" customHeight="1" x14ac:dyDescent="0.35">
      <c r="B9" s="40"/>
      <c r="C9" s="147" t="s">
        <v>337</v>
      </c>
      <c r="D9" s="141" t="s">
        <v>47</v>
      </c>
      <c r="E9" s="149" t="s">
        <v>454</v>
      </c>
      <c r="F9" s="151">
        <v>6</v>
      </c>
      <c r="G9" s="151"/>
      <c r="H9" s="150" t="s">
        <v>455</v>
      </c>
      <c r="I9" s="153" t="s">
        <v>484</v>
      </c>
      <c r="J9" s="42"/>
      <c r="XFD9" s="36" t="s">
        <v>407</v>
      </c>
    </row>
    <row r="10" spans="2:10 16384:16384" ht="148.5" customHeight="1" x14ac:dyDescent="0.35">
      <c r="B10" s="40"/>
      <c r="C10" s="147" t="s">
        <v>338</v>
      </c>
      <c r="D10" s="141" t="s">
        <v>47</v>
      </c>
      <c r="E10" s="149" t="s">
        <v>456</v>
      </c>
      <c r="F10" s="149" t="s">
        <v>459</v>
      </c>
      <c r="G10" s="151"/>
      <c r="H10" s="152" t="s">
        <v>458</v>
      </c>
      <c r="I10" s="153" t="s">
        <v>484</v>
      </c>
      <c r="J10" s="42"/>
      <c r="XFD10" s="36" t="s">
        <v>407</v>
      </c>
    </row>
    <row r="11" spans="2:10 16384:16384" ht="80.25" customHeight="1" x14ac:dyDescent="0.35">
      <c r="B11" s="40"/>
      <c r="C11" s="147" t="s">
        <v>339</v>
      </c>
      <c r="D11" s="141" t="s">
        <v>47</v>
      </c>
      <c r="E11" s="149" t="s">
        <v>460</v>
      </c>
      <c r="F11" s="151">
        <v>6</v>
      </c>
      <c r="G11" s="151"/>
      <c r="H11" s="150" t="s">
        <v>455</v>
      </c>
      <c r="I11" s="153" t="s">
        <v>484</v>
      </c>
      <c r="J11" s="42"/>
      <c r="XFD11" s="36" t="s">
        <v>407</v>
      </c>
    </row>
    <row r="12" spans="2:10 16384:16384" ht="144" x14ac:dyDescent="0.35">
      <c r="B12" s="40"/>
      <c r="C12" s="147" t="s">
        <v>340</v>
      </c>
      <c r="D12" s="141" t="s">
        <v>44</v>
      </c>
      <c r="E12" s="149" t="s">
        <v>456</v>
      </c>
      <c r="F12" s="149" t="s">
        <v>462</v>
      </c>
      <c r="G12" s="151"/>
      <c r="H12" s="153" t="s">
        <v>461</v>
      </c>
      <c r="I12" s="153"/>
      <c r="J12" s="42"/>
      <c r="XFD12" s="36" t="s">
        <v>407</v>
      </c>
    </row>
    <row r="13" spans="2:10 16384:16384" ht="108" x14ac:dyDescent="0.35">
      <c r="B13" s="40"/>
      <c r="C13" s="154" t="s">
        <v>341</v>
      </c>
      <c r="D13" s="141" t="s">
        <v>47</v>
      </c>
      <c r="E13" s="149" t="s">
        <v>463</v>
      </c>
      <c r="F13" s="151">
        <v>11</v>
      </c>
      <c r="G13" s="151"/>
      <c r="H13" s="153" t="s">
        <v>464</v>
      </c>
      <c r="I13" s="150" t="s">
        <v>465</v>
      </c>
      <c r="J13" s="42"/>
    </row>
    <row r="14" spans="2:10 16384:16384" ht="18.75" thickBot="1" x14ac:dyDescent="0.4">
      <c r="B14" s="43"/>
      <c r="C14" s="44"/>
      <c r="D14" s="44"/>
      <c r="E14" s="44"/>
      <c r="F14" s="44"/>
      <c r="G14" s="44"/>
      <c r="H14" s="44"/>
      <c r="I14" s="44"/>
      <c r="J14" s="45"/>
    </row>
    <row r="15" spans="2:10 16384:16384" ht="19.5" thickTop="1" thickBot="1" x14ac:dyDescent="0.4"/>
    <row r="16" spans="2:10 16384:16384" ht="18.75" thickTop="1" x14ac:dyDescent="0.35">
      <c r="B16" s="37"/>
      <c r="C16" s="38"/>
      <c r="D16" s="38"/>
      <c r="E16" s="38"/>
      <c r="F16" s="38"/>
      <c r="G16" s="38"/>
      <c r="H16" s="38"/>
      <c r="I16" s="38"/>
      <c r="J16" s="39"/>
    </row>
    <row r="17" spans="2:10 16384:16384" ht="21" thickBot="1" x14ac:dyDescent="0.4">
      <c r="B17" s="40"/>
      <c r="C17" s="41" t="s">
        <v>408</v>
      </c>
      <c r="J17" s="42"/>
    </row>
    <row r="18" spans="2:10 16384:16384" ht="18.75" thickTop="1" x14ac:dyDescent="0.35">
      <c r="B18" s="40"/>
      <c r="J18" s="42"/>
    </row>
    <row r="19" spans="2:10 16384:16384" ht="30" customHeight="1" x14ac:dyDescent="0.35">
      <c r="B19" s="40"/>
      <c r="C19" s="9"/>
      <c r="D19" s="9" t="s">
        <v>150</v>
      </c>
      <c r="E19" s="9" t="s">
        <v>151</v>
      </c>
      <c r="F19" s="9" t="s">
        <v>152</v>
      </c>
      <c r="G19" s="9" t="s">
        <v>153</v>
      </c>
      <c r="H19" s="8" t="s">
        <v>154</v>
      </c>
      <c r="I19" s="8" t="s">
        <v>155</v>
      </c>
      <c r="J19" s="42"/>
    </row>
    <row r="20" spans="2:10 16384:16384" ht="69.95" customHeight="1" x14ac:dyDescent="0.35">
      <c r="B20" s="40"/>
      <c r="C20" s="155" t="s">
        <v>409</v>
      </c>
      <c r="D20" s="141" t="s">
        <v>47</v>
      </c>
      <c r="E20" s="151"/>
      <c r="F20" s="151"/>
      <c r="G20" s="151"/>
      <c r="H20" s="153" t="s">
        <v>466</v>
      </c>
      <c r="I20" s="153" t="s">
        <v>467</v>
      </c>
      <c r="J20" s="42"/>
      <c r="XFD20" s="36" t="s">
        <v>410</v>
      </c>
    </row>
    <row r="21" spans="2:10 16384:16384" ht="69.95" customHeight="1" x14ac:dyDescent="0.35">
      <c r="B21" s="40"/>
      <c r="C21" s="155" t="s">
        <v>411</v>
      </c>
      <c r="D21" s="141" t="s">
        <v>44</v>
      </c>
      <c r="E21" s="149" t="s">
        <v>470</v>
      </c>
      <c r="F21" s="151">
        <v>3</v>
      </c>
      <c r="G21" s="149" t="s">
        <v>468</v>
      </c>
      <c r="H21" s="153" t="s">
        <v>469</v>
      </c>
      <c r="I21" s="153"/>
      <c r="J21" s="42"/>
      <c r="XFD21" s="36" t="s">
        <v>410</v>
      </c>
    </row>
    <row r="22" spans="2:10 16384:16384" ht="270" x14ac:dyDescent="0.35">
      <c r="B22" s="40"/>
      <c r="C22" s="155" t="s">
        <v>412</v>
      </c>
      <c r="D22" s="141" t="s">
        <v>44</v>
      </c>
      <c r="E22" s="149" t="s">
        <v>470</v>
      </c>
      <c r="F22" s="151" t="s">
        <v>471</v>
      </c>
      <c r="G22" s="149" t="s">
        <v>472</v>
      </c>
      <c r="H22" s="152" t="s">
        <v>473</v>
      </c>
      <c r="I22" s="153"/>
      <c r="J22" s="42"/>
      <c r="XFD22" s="36" t="s">
        <v>410</v>
      </c>
    </row>
    <row r="23" spans="2:10 16384:16384" ht="69.95" customHeight="1" x14ac:dyDescent="0.35">
      <c r="B23" s="40"/>
      <c r="C23" s="155" t="s">
        <v>413</v>
      </c>
      <c r="D23" s="141" t="s">
        <v>44</v>
      </c>
      <c r="E23" s="149" t="s">
        <v>470</v>
      </c>
      <c r="F23" s="151">
        <v>3</v>
      </c>
      <c r="G23" s="149" t="s">
        <v>468</v>
      </c>
      <c r="H23" s="153" t="s">
        <v>474</v>
      </c>
      <c r="I23" s="153"/>
      <c r="J23" s="42"/>
      <c r="XFD23" s="36" t="s">
        <v>410</v>
      </c>
    </row>
    <row r="24" spans="2:10 16384:16384" ht="36" x14ac:dyDescent="0.35">
      <c r="B24" s="40"/>
      <c r="C24" s="155" t="s">
        <v>414</v>
      </c>
      <c r="D24" s="141" t="s">
        <v>47</v>
      </c>
      <c r="E24" s="149"/>
      <c r="F24" s="151"/>
      <c r="G24" s="151"/>
      <c r="H24" s="153" t="s">
        <v>475</v>
      </c>
      <c r="I24" s="153" t="s">
        <v>476</v>
      </c>
      <c r="J24" s="42"/>
      <c r="XFD24" s="36" t="s">
        <v>410</v>
      </c>
    </row>
    <row r="25" spans="2:10 16384:16384" ht="409.5" x14ac:dyDescent="0.35">
      <c r="B25" s="40"/>
      <c r="C25" s="154" t="s">
        <v>415</v>
      </c>
      <c r="D25" s="141" t="s">
        <v>44</v>
      </c>
      <c r="E25" s="149" t="s">
        <v>477</v>
      </c>
      <c r="F25" s="151">
        <v>10</v>
      </c>
      <c r="G25" s="151" t="s">
        <v>479</v>
      </c>
      <c r="H25" s="150" t="s">
        <v>478</v>
      </c>
      <c r="I25" s="153"/>
      <c r="J25" s="42"/>
    </row>
    <row r="26" spans="2:10 16384:16384" ht="18.75" thickBot="1" x14ac:dyDescent="0.4">
      <c r="B26" s="43"/>
      <c r="C26" s="44"/>
      <c r="D26" s="44"/>
      <c r="E26" s="44"/>
      <c r="F26" s="44"/>
      <c r="G26" s="44"/>
      <c r="H26" s="44"/>
      <c r="I26" s="44"/>
      <c r="J26" s="45"/>
    </row>
    <row r="27" spans="2:10 16384:16384" ht="19.5" thickTop="1" thickBot="1" x14ac:dyDescent="0.4">
      <c r="C27" s="46"/>
    </row>
    <row r="28" spans="2:10 16384:16384" ht="18.75" thickTop="1" x14ac:dyDescent="0.35">
      <c r="B28" s="37"/>
      <c r="C28" s="38"/>
      <c r="D28" s="38"/>
      <c r="E28" s="38"/>
      <c r="F28" s="38"/>
      <c r="G28" s="38"/>
      <c r="H28" s="38"/>
      <c r="I28" s="38"/>
      <c r="J28" s="39"/>
    </row>
    <row r="29" spans="2:10 16384:16384" ht="21" thickBot="1" x14ac:dyDescent="0.4">
      <c r="B29" s="40"/>
      <c r="C29" s="41" t="s">
        <v>416</v>
      </c>
      <c r="J29" s="42"/>
    </row>
    <row r="30" spans="2:10 16384:16384" ht="18.75" thickTop="1" x14ac:dyDescent="0.35">
      <c r="B30" s="40"/>
      <c r="J30" s="42"/>
    </row>
    <row r="31" spans="2:10 16384:16384" x14ac:dyDescent="0.35">
      <c r="B31" s="40"/>
      <c r="C31" s="36" t="s">
        <v>417</v>
      </c>
      <c r="J31" s="42"/>
    </row>
    <row r="32" spans="2:10 16384:16384" x14ac:dyDescent="0.35">
      <c r="B32" s="40"/>
      <c r="J32" s="42"/>
    </row>
    <row r="33" spans="2:10 16384:16384" x14ac:dyDescent="0.35">
      <c r="B33" s="40"/>
      <c r="J33" s="42"/>
    </row>
    <row r="34" spans="2:10 16384:16384" x14ac:dyDescent="0.35">
      <c r="B34" s="40"/>
      <c r="C34" s="36" t="s">
        <v>418</v>
      </c>
      <c r="J34" s="42"/>
    </row>
    <row r="35" spans="2:10 16384:16384" ht="30" x14ac:dyDescent="0.35">
      <c r="B35" s="40"/>
      <c r="C35" s="9"/>
      <c r="D35" s="9" t="s">
        <v>150</v>
      </c>
      <c r="E35" s="9" t="s">
        <v>151</v>
      </c>
      <c r="F35" s="9" t="s">
        <v>152</v>
      </c>
      <c r="G35" s="9" t="s">
        <v>153</v>
      </c>
      <c r="H35" s="8" t="s">
        <v>154</v>
      </c>
      <c r="I35" s="8" t="s">
        <v>155</v>
      </c>
      <c r="J35" s="42"/>
    </row>
    <row r="36" spans="2:10 16384:16384" ht="69.95" customHeight="1" x14ac:dyDescent="0.35">
      <c r="B36" s="40"/>
      <c r="C36" s="155" t="s">
        <v>419</v>
      </c>
      <c r="D36" s="141" t="s">
        <v>203</v>
      </c>
      <c r="E36" s="151" t="s">
        <v>203</v>
      </c>
      <c r="F36" s="151" t="s">
        <v>203</v>
      </c>
      <c r="G36" s="151" t="s">
        <v>203</v>
      </c>
      <c r="H36" s="151" t="s">
        <v>203</v>
      </c>
      <c r="I36" s="151" t="s">
        <v>203</v>
      </c>
      <c r="J36" s="42"/>
      <c r="XFD36" s="36" t="s">
        <v>420</v>
      </c>
    </row>
    <row r="37" spans="2:10 16384:16384" ht="69.95" customHeight="1" x14ac:dyDescent="0.35">
      <c r="B37" s="40"/>
      <c r="C37" s="155" t="s">
        <v>421</v>
      </c>
      <c r="D37" s="141" t="s">
        <v>203</v>
      </c>
      <c r="E37" s="151" t="s">
        <v>203</v>
      </c>
      <c r="F37" s="151" t="s">
        <v>203</v>
      </c>
      <c r="G37" s="151" t="s">
        <v>203</v>
      </c>
      <c r="H37" s="151" t="s">
        <v>203</v>
      </c>
      <c r="I37" s="151" t="s">
        <v>203</v>
      </c>
      <c r="J37" s="42"/>
      <c r="XFD37" s="36" t="s">
        <v>420</v>
      </c>
    </row>
    <row r="38" spans="2:10 16384:16384" ht="69.95" customHeight="1" x14ac:dyDescent="0.35">
      <c r="B38" s="40"/>
      <c r="C38" s="155" t="s">
        <v>422</v>
      </c>
      <c r="D38" s="141" t="s">
        <v>203</v>
      </c>
      <c r="E38" s="151" t="s">
        <v>203</v>
      </c>
      <c r="F38" s="151" t="s">
        <v>203</v>
      </c>
      <c r="G38" s="151" t="s">
        <v>203</v>
      </c>
      <c r="H38" s="151" t="s">
        <v>203</v>
      </c>
      <c r="I38" s="151" t="s">
        <v>203</v>
      </c>
      <c r="J38" s="48"/>
      <c r="XFD38" s="36" t="s">
        <v>420</v>
      </c>
    </row>
    <row r="39" spans="2:10 16384:16384" ht="18.75" thickBot="1" x14ac:dyDescent="0.4">
      <c r="B39" s="43"/>
      <c r="C39" s="44"/>
      <c r="D39" s="44"/>
      <c r="E39" s="44"/>
      <c r="F39" s="44"/>
      <c r="G39" s="44"/>
      <c r="H39" s="44"/>
      <c r="I39" s="44"/>
      <c r="J39" s="45"/>
    </row>
    <row r="40" spans="2:10 16384:16384" ht="18.75" thickTop="1" x14ac:dyDescent="0.35"/>
    <row r="41" spans="2:10 16384:16384" x14ac:dyDescent="0.35">
      <c r="C41"/>
    </row>
    <row r="42" spans="2:10 16384:16384" x14ac:dyDescent="0.35">
      <c r="C42"/>
    </row>
    <row r="43" spans="2:10 16384:16384" x14ac:dyDescent="0.35">
      <c r="C43"/>
    </row>
    <row r="100" spans="1:1" x14ac:dyDescent="0.35">
      <c r="A100" s="36">
        <v>11</v>
      </c>
    </row>
  </sheetData>
  <phoneticPr fontId="8"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1137" r:id="rId3" name="Drop Down 1">
              <controlPr defaultSize="0" autoLine="0" autoPict="0" macro="[0]!Seccion4NA">
                <anchor moveWithCells="1">
                  <from>
                    <xdr:col>1</xdr:col>
                    <xdr:colOff>200025</xdr:colOff>
                    <xdr:row>31</xdr:row>
                    <xdr:rowOff>9525</xdr:rowOff>
                  </from>
                  <to>
                    <xdr:col>8</xdr:col>
                    <xdr:colOff>190500</xdr:colOff>
                    <xdr:row>32</xdr:row>
                    <xdr:rowOff>38100</xdr:rowOff>
                  </to>
                </anchor>
              </controlPr>
            </control>
          </mc:Choice>
        </mc:AlternateContent>
        <mc:AlternateContent xmlns:mc="http://schemas.openxmlformats.org/markup-compatibility/2006">
          <mc:Choice Requires="x14">
            <control shapeId="91142" r:id="rId4" name="Button 6">
              <controlPr defaultSize="0" print="0" autoFill="0" autoPict="0" macro="[0]!Limpia">
                <anchor moveWithCells="1" sizeWithCells="1">
                  <from>
                    <xdr:col>2</xdr:col>
                    <xdr:colOff>2200275</xdr:colOff>
                    <xdr:row>1</xdr:row>
                    <xdr:rowOff>257175</xdr:rowOff>
                  </from>
                  <to>
                    <xdr:col>3</xdr:col>
                    <xdr:colOff>400050</xdr:colOff>
                    <xdr:row>2</xdr:row>
                    <xdr:rowOff>66675</xdr:rowOff>
                  </to>
                </anchor>
              </controlPr>
            </control>
          </mc:Choice>
        </mc:AlternateContent>
        <mc:AlternateContent xmlns:mc="http://schemas.openxmlformats.org/markup-compatibility/2006">
          <mc:Choice Requires="x14">
            <control shapeId="91143" r:id="rId5" name="Button 7">
              <controlPr defaultSize="0" print="0" autoFill="0" autoPict="0" macro="[0]!Regresar">
                <anchor moveWithCells="1" sizeWithCells="1">
                  <from>
                    <xdr:col>3</xdr:col>
                    <xdr:colOff>723900</xdr:colOff>
                    <xdr:row>1</xdr:row>
                    <xdr:rowOff>257175</xdr:rowOff>
                  </from>
                  <to>
                    <xdr:col>4</xdr:col>
                    <xdr:colOff>809625</xdr:colOff>
                    <xdr:row>2</xdr:row>
                    <xdr:rowOff>66675</xdr:rowOff>
                  </to>
                </anchor>
              </controlPr>
            </control>
          </mc:Choice>
        </mc:AlternateContent>
        <mc:AlternateContent xmlns:mc="http://schemas.openxmlformats.org/markup-compatibility/2006">
          <mc:Choice Requires="x14">
            <control shapeId="91144" r:id="rId6" name="Button 8">
              <controlPr defaultSize="0" print="0" autoFill="0" autoPict="0" macro="[0]!Evaluacion">
                <anchor moveWithCells="1" sizeWithCells="1">
                  <from>
                    <xdr:col>5</xdr:col>
                    <xdr:colOff>209550</xdr:colOff>
                    <xdr:row>1</xdr:row>
                    <xdr:rowOff>257175</xdr:rowOff>
                  </from>
                  <to>
                    <xdr:col>6</xdr:col>
                    <xdr:colOff>295275</xdr:colOff>
                    <xdr:row>2</xdr:row>
                    <xdr:rowOff>66675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769ED221-1261-49FF-B833-5EFE0451AF73}">
          <x14:formula1>
            <xm:f>Aux!$H$2:$H$3</xm:f>
          </x14:formula1>
          <xm:sqref>D8:D13 D36:D38 D20:D25</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72C165-5558-447F-A0FD-EBAEB5750389}">
  <sheetPr codeName="Hoja11"/>
  <dimension ref="A2:F100"/>
  <sheetViews>
    <sheetView workbookViewId="0">
      <selection activeCell="H8" sqref="H8"/>
    </sheetView>
  </sheetViews>
  <sheetFormatPr baseColWidth="10" defaultColWidth="11.42578125" defaultRowHeight="15" x14ac:dyDescent="0.3"/>
  <cols>
    <col min="1" max="1" width="24.28515625" style="21" customWidth="1"/>
    <col min="2" max="2" width="48.5703125" style="21" bestFit="1" customWidth="1"/>
    <col min="3" max="4" width="11.42578125" style="21"/>
    <col min="5" max="5" width="56.42578125" style="21" bestFit="1" customWidth="1"/>
    <col min="6" max="7" width="11.42578125" style="21"/>
    <col min="8" max="8" width="38.42578125" style="21" customWidth="1"/>
    <col min="9" max="10" width="11.42578125" style="21"/>
    <col min="11" max="11" width="38.42578125" style="21" customWidth="1"/>
    <col min="12" max="12" width="11.42578125" style="21"/>
    <col min="13" max="13" width="11.42578125" style="21" customWidth="1"/>
    <col min="14" max="14" width="38.42578125" style="21" customWidth="1"/>
    <col min="15" max="16384" width="11.42578125" style="21"/>
  </cols>
  <sheetData>
    <row r="2" spans="1:6" ht="46.5" customHeight="1" x14ac:dyDescent="0.3">
      <c r="B2" s="99" t="s">
        <v>423</v>
      </c>
    </row>
    <row r="3" spans="1:6" ht="19.5" customHeight="1" thickBot="1" x14ac:dyDescent="0.35"/>
    <row r="4" spans="1:6" x14ac:dyDescent="0.3">
      <c r="B4" s="86" t="s">
        <v>424</v>
      </c>
      <c r="C4" s="87" t="s">
        <v>425</v>
      </c>
      <c r="D4" s="53"/>
      <c r="E4" s="86" t="s">
        <v>426</v>
      </c>
      <c r="F4" s="87" t="s">
        <v>425</v>
      </c>
    </row>
    <row r="5" spans="1:6" ht="30" customHeight="1" x14ac:dyDescent="0.3">
      <c r="B5" s="19" t="s">
        <v>427</v>
      </c>
      <c r="C5" s="20">
        <v>8</v>
      </c>
      <c r="E5" s="19" t="s">
        <v>428</v>
      </c>
      <c r="F5" s="22">
        <v>6</v>
      </c>
    </row>
    <row r="6" spans="1:6" x14ac:dyDescent="0.3">
      <c r="B6" s="23" t="s">
        <v>44</v>
      </c>
      <c r="C6" s="24">
        <v>8</v>
      </c>
      <c r="E6" s="23" t="s">
        <v>44</v>
      </c>
      <c r="F6" s="24">
        <v>2</v>
      </c>
    </row>
    <row r="7" spans="1:6" x14ac:dyDescent="0.3">
      <c r="B7" s="26" t="s">
        <v>47</v>
      </c>
      <c r="C7" s="27">
        <v>0</v>
      </c>
      <c r="E7" s="26" t="s">
        <v>47</v>
      </c>
      <c r="F7" s="27">
        <v>4</v>
      </c>
    </row>
    <row r="8" spans="1:6" ht="30" x14ac:dyDescent="0.3">
      <c r="B8" s="19" t="s">
        <v>429</v>
      </c>
      <c r="C8" s="22">
        <v>13</v>
      </c>
      <c r="E8" s="19" t="s">
        <v>430</v>
      </c>
      <c r="F8" s="22">
        <v>6</v>
      </c>
    </row>
    <row r="9" spans="1:6" x14ac:dyDescent="0.3">
      <c r="B9" s="23" t="s">
        <v>44</v>
      </c>
      <c r="C9" s="25">
        <v>13</v>
      </c>
      <c r="E9" s="23" t="s">
        <v>44</v>
      </c>
      <c r="F9" s="24">
        <v>4</v>
      </c>
    </row>
    <row r="10" spans="1:6" x14ac:dyDescent="0.3">
      <c r="B10" s="26" t="s">
        <v>47</v>
      </c>
      <c r="C10" s="28">
        <v>0</v>
      </c>
      <c r="E10" s="26" t="s">
        <v>47</v>
      </c>
      <c r="F10" s="27">
        <v>2</v>
      </c>
    </row>
    <row r="11" spans="1:6" ht="30" x14ac:dyDescent="0.3">
      <c r="A11" s="25"/>
      <c r="C11" s="89"/>
      <c r="E11" s="19" t="s">
        <v>431</v>
      </c>
      <c r="F11" s="22" t="s">
        <v>203</v>
      </c>
    </row>
    <row r="12" spans="1:6" x14ac:dyDescent="0.3">
      <c r="A12" s="25"/>
      <c r="B12" s="29" t="s">
        <v>432</v>
      </c>
      <c r="C12" s="74">
        <v>1</v>
      </c>
      <c r="E12" s="23" t="s">
        <v>44</v>
      </c>
      <c r="F12" s="24" t="s">
        <v>203</v>
      </c>
    </row>
    <row r="13" spans="1:6" ht="15.75" thickBot="1" x14ac:dyDescent="0.35">
      <c r="A13" s="25"/>
      <c r="B13" s="57" t="s">
        <v>433</v>
      </c>
      <c r="C13" s="73">
        <v>1</v>
      </c>
      <c r="E13" s="26" t="s">
        <v>47</v>
      </c>
      <c r="F13" s="27" t="s">
        <v>203</v>
      </c>
    </row>
    <row r="14" spans="1:6" ht="15.75" thickBot="1" x14ac:dyDescent="0.35">
      <c r="D14" s="25"/>
      <c r="F14" s="89"/>
    </row>
    <row r="15" spans="1:6" x14ac:dyDescent="0.3">
      <c r="B15" s="86" t="s">
        <v>434</v>
      </c>
      <c r="C15" s="87" t="s">
        <v>425</v>
      </c>
      <c r="E15" s="29" t="s">
        <v>435</v>
      </c>
      <c r="F15" s="74">
        <v>0.33333333333333331</v>
      </c>
    </row>
    <row r="16" spans="1:6" x14ac:dyDescent="0.3">
      <c r="B16" s="23" t="s">
        <v>184</v>
      </c>
      <c r="C16" s="32">
        <v>0.24242424242424243</v>
      </c>
      <c r="E16" s="23" t="s">
        <v>436</v>
      </c>
      <c r="F16" s="76">
        <v>0.66666666666666663</v>
      </c>
    </row>
    <row r="17" spans="1:6" ht="15.75" thickBot="1" x14ac:dyDescent="0.35">
      <c r="B17" s="23" t="s">
        <v>156</v>
      </c>
      <c r="C17" s="32">
        <v>0.39393939393939392</v>
      </c>
      <c r="E17" s="30" t="s">
        <v>437</v>
      </c>
      <c r="F17" s="75" t="s">
        <v>203</v>
      </c>
    </row>
    <row r="18" spans="1:6" x14ac:dyDescent="0.3">
      <c r="B18" s="23" t="s">
        <v>407</v>
      </c>
      <c r="C18" s="32">
        <v>6.0606060606060608E-2</v>
      </c>
    </row>
    <row r="19" spans="1:6" x14ac:dyDescent="0.3">
      <c r="B19" s="23" t="s">
        <v>410</v>
      </c>
      <c r="C19" s="76">
        <v>0.12121212121212122</v>
      </c>
    </row>
    <row r="20" spans="1:6" x14ac:dyDescent="0.3">
      <c r="B20" s="26" t="s">
        <v>420</v>
      </c>
      <c r="C20" s="77" t="s">
        <v>203</v>
      </c>
      <c r="E20" s="90"/>
    </row>
    <row r="21" spans="1:6" x14ac:dyDescent="0.3">
      <c r="B21" s="72"/>
      <c r="C21" s="71"/>
      <c r="E21" s="91"/>
    </row>
    <row r="22" spans="1:6" x14ac:dyDescent="0.3">
      <c r="A22" s="25"/>
      <c r="B22" s="29" t="s">
        <v>438</v>
      </c>
      <c r="C22" s="103">
        <v>0.81818181818181823</v>
      </c>
      <c r="D22" s="104"/>
      <c r="E22" s="91"/>
    </row>
    <row r="23" spans="1:6" ht="15.75" thickBot="1" x14ac:dyDescent="0.35">
      <c r="A23" s="25"/>
      <c r="B23" s="30" t="s">
        <v>439</v>
      </c>
      <c r="C23" s="73" t="str">
        <f>IF(C22=1,"Cumple","No cumple")</f>
        <v>No cumple</v>
      </c>
      <c r="E23" s="91"/>
    </row>
    <row r="24" spans="1:6" ht="15.75" thickBot="1" x14ac:dyDescent="0.35"/>
    <row r="25" spans="1:6" x14ac:dyDescent="0.3">
      <c r="B25" s="88" t="s">
        <v>440</v>
      </c>
      <c r="E25" s="88" t="s">
        <v>441</v>
      </c>
    </row>
    <row r="26" spans="1:6" ht="390.75" thickBot="1" x14ac:dyDescent="0.35">
      <c r="B26" s="122"/>
      <c r="E26" s="123" t="s">
        <v>485</v>
      </c>
    </row>
    <row r="27" spans="1:6" x14ac:dyDescent="0.3">
      <c r="B27" s="90"/>
    </row>
    <row r="100" spans="1:2" x14ac:dyDescent="0.3">
      <c r="A100" s="21">
        <v>13</v>
      </c>
      <c r="B100" s="21">
        <f>C22</f>
        <v>0.81818181818181823</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Limpia">
                <anchor moveWithCells="1" sizeWithCells="1">
                  <from>
                    <xdr:col>4</xdr:col>
                    <xdr:colOff>47625</xdr:colOff>
                    <xdr:row>1</xdr:row>
                    <xdr:rowOff>85725</xdr:rowOff>
                  </from>
                  <to>
                    <xdr:col>4</xdr:col>
                    <xdr:colOff>1057275</xdr:colOff>
                    <xdr:row>1</xdr:row>
                    <xdr:rowOff>485775</xdr:rowOff>
                  </to>
                </anchor>
              </controlPr>
            </control>
          </mc:Choice>
        </mc:AlternateContent>
        <mc:AlternateContent xmlns:mc="http://schemas.openxmlformats.org/markup-compatibility/2006">
          <mc:Choice Requires="x14">
            <control shapeId="30722" r:id="rId5" name="Button 2">
              <controlPr defaultSize="0" print="0" autoFill="0" autoPict="0" macro="[0]!Regresar">
                <anchor moveWithCells="1" sizeWithCells="1">
                  <from>
                    <xdr:col>4</xdr:col>
                    <xdr:colOff>1314450</xdr:colOff>
                    <xdr:row>1</xdr:row>
                    <xdr:rowOff>85725</xdr:rowOff>
                  </from>
                  <to>
                    <xdr:col>4</xdr:col>
                    <xdr:colOff>2324100</xdr:colOff>
                    <xdr:row>1</xdr:row>
                    <xdr:rowOff>485775</xdr:rowOff>
                  </to>
                </anchor>
              </controlPr>
            </control>
          </mc:Choice>
        </mc:AlternateContent>
        <mc:AlternateContent xmlns:mc="http://schemas.openxmlformats.org/markup-compatibility/2006">
          <mc:Choice Requires="x14">
            <control shapeId="30723" r:id="rId6" name="Button 3">
              <controlPr defaultSize="0" print="0" autoFill="0" autoPict="0" macro="[0]!Guardar">
                <anchor moveWithCells="1" sizeWithCells="1">
                  <from>
                    <xdr:col>4</xdr:col>
                    <xdr:colOff>2581275</xdr:colOff>
                    <xdr:row>1</xdr:row>
                    <xdr:rowOff>85725</xdr:rowOff>
                  </from>
                  <to>
                    <xdr:col>4</xdr:col>
                    <xdr:colOff>3590925</xdr:colOff>
                    <xdr:row>1</xdr:row>
                    <xdr:rowOff>485775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FDCD11-C9C9-47C2-B859-F82371F7CF2B}">
  <sheetPr codeName="Hoja17"/>
  <dimension ref="A2:S100"/>
  <sheetViews>
    <sheetView workbookViewId="0">
      <selection activeCell="R5" sqref="R5"/>
    </sheetView>
  </sheetViews>
  <sheetFormatPr baseColWidth="10" defaultColWidth="11.42578125" defaultRowHeight="15" x14ac:dyDescent="0.3"/>
  <cols>
    <col min="1" max="1" width="11.42578125" style="21"/>
    <col min="2" max="2" width="20.7109375" style="21" customWidth="1"/>
    <col min="3" max="3" width="13.28515625" style="21" customWidth="1"/>
    <col min="4" max="4" width="7.7109375" style="21" bestFit="1" customWidth="1"/>
    <col min="5" max="5" width="12.42578125" style="21" bestFit="1" customWidth="1"/>
    <col min="6" max="6" width="17.7109375" style="21" customWidth="1"/>
    <col min="7" max="7" width="16.42578125" style="21" bestFit="1" customWidth="1"/>
    <col min="8" max="8" width="18" style="21" bestFit="1" customWidth="1"/>
    <col min="9" max="9" width="17.7109375" style="21" bestFit="1" customWidth="1"/>
    <col min="10" max="12" width="11.42578125" style="21"/>
    <col min="13" max="13" width="23.28515625" style="21" customWidth="1"/>
    <col min="14" max="14" width="17" style="21" customWidth="1"/>
    <col min="15" max="15" width="18.5703125" style="21" customWidth="1"/>
    <col min="16" max="18" width="11.42578125" style="21"/>
    <col min="19" max="19" width="13" style="21" customWidth="1"/>
    <col min="20" max="16384" width="11.42578125" style="21"/>
  </cols>
  <sheetData>
    <row r="2" spans="2:19" ht="46.5" customHeight="1" x14ac:dyDescent="0.3">
      <c r="C2" s="175" t="s">
        <v>442</v>
      </c>
      <c r="D2" s="175"/>
      <c r="E2" s="175"/>
      <c r="F2" s="175"/>
    </row>
    <row r="3" spans="2:19" ht="19.5" customHeight="1" thickBot="1" x14ac:dyDescent="0.35"/>
    <row r="4" spans="2:19" ht="75.75" thickBot="1" x14ac:dyDescent="0.35">
      <c r="B4" s="92" t="s">
        <v>26</v>
      </c>
      <c r="C4" s="93" t="s">
        <v>27</v>
      </c>
      <c r="D4" s="93" t="s">
        <v>6</v>
      </c>
      <c r="E4" s="93" t="s">
        <v>28</v>
      </c>
      <c r="F4" s="93" t="s">
        <v>29</v>
      </c>
      <c r="G4" s="93" t="s">
        <v>30</v>
      </c>
      <c r="H4" s="93" t="s">
        <v>31</v>
      </c>
      <c r="I4" s="93" t="s">
        <v>32</v>
      </c>
      <c r="J4" s="93" t="s">
        <v>33</v>
      </c>
      <c r="K4" s="93" t="s">
        <v>34</v>
      </c>
      <c r="L4" s="93" t="s">
        <v>35</v>
      </c>
      <c r="M4" s="93" t="s">
        <v>36</v>
      </c>
      <c r="N4" s="93" t="s">
        <v>37</v>
      </c>
      <c r="O4" s="93" t="s">
        <v>38</v>
      </c>
      <c r="P4" s="93" t="s">
        <v>39</v>
      </c>
      <c r="Q4" s="93" t="s">
        <v>40</v>
      </c>
      <c r="R4" s="93" t="s">
        <v>41</v>
      </c>
      <c r="S4" s="94" t="s">
        <v>42</v>
      </c>
    </row>
    <row r="5" spans="2:19" ht="409.6" thickBot="1" x14ac:dyDescent="0.35">
      <c r="B5" s="95" t="s">
        <v>480</v>
      </c>
      <c r="C5" s="96" t="s">
        <v>255</v>
      </c>
      <c r="D5" s="96" t="s">
        <v>450</v>
      </c>
      <c r="E5" s="97" t="s">
        <v>481</v>
      </c>
      <c r="F5" s="96" t="s">
        <v>254</v>
      </c>
      <c r="G5" s="96" t="s">
        <v>329</v>
      </c>
      <c r="H5" s="96" t="s">
        <v>63</v>
      </c>
      <c r="I5" s="96" t="s">
        <v>57</v>
      </c>
      <c r="J5" s="96" t="s">
        <v>65</v>
      </c>
      <c r="K5" s="96" t="s">
        <v>46</v>
      </c>
      <c r="L5" s="96" t="s">
        <v>43</v>
      </c>
      <c r="M5" s="96" t="s">
        <v>483</v>
      </c>
      <c r="N5" s="96" t="s">
        <v>455</v>
      </c>
      <c r="O5" s="96" t="s">
        <v>457</v>
      </c>
      <c r="P5" s="96" t="s">
        <v>455</v>
      </c>
      <c r="Q5" s="96" t="s">
        <v>461</v>
      </c>
      <c r="R5" s="96" t="s">
        <v>482</v>
      </c>
      <c r="S5" s="98" t="s">
        <v>47</v>
      </c>
    </row>
    <row r="9" spans="2:19" x14ac:dyDescent="0.3">
      <c r="B9" s="21" t="s">
        <v>26</v>
      </c>
    </row>
    <row r="10" spans="2:19" x14ac:dyDescent="0.3">
      <c r="B10" s="21" t="s">
        <v>126</v>
      </c>
      <c r="C10" s="21" t="s">
        <v>127</v>
      </c>
    </row>
    <row r="11" spans="2:19" x14ac:dyDescent="0.3">
      <c r="B11" s="21" t="s">
        <v>128</v>
      </c>
      <c r="C11" s="21" t="s">
        <v>129</v>
      </c>
    </row>
    <row r="12" spans="2:19" x14ac:dyDescent="0.3">
      <c r="B12" s="21" t="s">
        <v>128</v>
      </c>
      <c r="C12" s="21" t="s">
        <v>130</v>
      </c>
    </row>
    <row r="13" spans="2:19" x14ac:dyDescent="0.3">
      <c r="B13" s="21" t="s">
        <v>443</v>
      </c>
      <c r="C13" s="21" t="s">
        <v>6</v>
      </c>
    </row>
    <row r="100" spans="1:1" x14ac:dyDescent="0.3">
      <c r="A100" s="21">
        <v>16</v>
      </c>
    </row>
  </sheetData>
  <mergeCells count="1">
    <mergeCell ref="C2:F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0593" r:id="rId4" name="Button 1">
              <controlPr defaultSize="0" print="0" autoFill="0" autoPict="0" macro="[0]!Regresar">
                <anchor moveWithCells="1" sizeWithCells="1">
                  <from>
                    <xdr:col>6</xdr:col>
                    <xdr:colOff>438150</xdr:colOff>
                    <xdr:row>1</xdr:row>
                    <xdr:rowOff>104775</xdr:rowOff>
                  </from>
                  <to>
                    <xdr:col>7</xdr:col>
                    <xdr:colOff>352425</xdr:colOff>
                    <xdr:row>1</xdr:row>
                    <xdr:rowOff>504825</xdr:rowOff>
                  </to>
                </anchor>
              </controlPr>
            </control>
          </mc:Choice>
        </mc:AlternateContent>
        <mc:AlternateContent xmlns:mc="http://schemas.openxmlformats.org/markup-compatibility/2006">
          <mc:Choice Requires="x14">
            <control shapeId="110595" r:id="rId5" name="Button 3">
              <controlPr defaultSize="0" print="0" autoFill="0" autoPict="0" macro="[0]!Reiniciar">
                <anchor moveWithCells="1" sizeWithCells="1">
                  <from>
                    <xdr:col>7</xdr:col>
                    <xdr:colOff>666750</xdr:colOff>
                    <xdr:row>1</xdr:row>
                    <xdr:rowOff>104775</xdr:rowOff>
                  </from>
                  <to>
                    <xdr:col>8</xdr:col>
                    <xdr:colOff>476250</xdr:colOff>
                    <xdr:row>1</xdr:row>
                    <xdr:rowOff>504825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F2DCAD-C6C7-4373-95D7-66E0B7D1B6F5}">
  <sheetPr codeName="Hoja14"/>
  <dimension ref="A2:C100"/>
  <sheetViews>
    <sheetView workbookViewId="0">
      <selection activeCell="C11" sqref="C11"/>
    </sheetView>
  </sheetViews>
  <sheetFormatPr baseColWidth="10" defaultColWidth="11.42578125" defaultRowHeight="15" x14ac:dyDescent="0.25"/>
  <cols>
    <col min="1" max="1" width="24.28515625" style="3" customWidth="1"/>
    <col min="2" max="2" width="48.5703125" style="3" bestFit="1" customWidth="1"/>
    <col min="3" max="4" width="11.42578125" style="3"/>
    <col min="5" max="5" width="56.42578125" style="3" bestFit="1" customWidth="1"/>
    <col min="6" max="7" width="11.42578125" style="3"/>
    <col min="8" max="8" width="38.42578125" style="3" customWidth="1"/>
    <col min="9" max="10" width="11.42578125" style="3"/>
    <col min="11" max="11" width="38.42578125" style="3" customWidth="1"/>
    <col min="12" max="12" width="11.42578125" style="3"/>
    <col min="13" max="13" width="11.42578125" style="3" customWidth="1"/>
    <col min="14" max="14" width="38.42578125" style="3" customWidth="1"/>
    <col min="15" max="16384" width="11.42578125" style="3"/>
  </cols>
  <sheetData>
    <row r="2" spans="1:3" ht="46.5" customHeight="1" x14ac:dyDescent="0.25">
      <c r="B2" s="99" t="s">
        <v>444</v>
      </c>
    </row>
    <row r="3" spans="1:3" ht="19.5" customHeight="1" thickBot="1" x14ac:dyDescent="0.3"/>
    <row r="4" spans="1:3" ht="15.75" x14ac:dyDescent="0.3">
      <c r="B4" s="10" t="s">
        <v>424</v>
      </c>
      <c r="C4" s="11" t="s">
        <v>425</v>
      </c>
    </row>
    <row r="5" spans="1:3" ht="30" customHeight="1" x14ac:dyDescent="0.3">
      <c r="B5" s="19" t="s">
        <v>427</v>
      </c>
      <c r="C5" s="20"/>
    </row>
    <row r="6" spans="1:3" ht="15.75" x14ac:dyDescent="0.3">
      <c r="B6" s="23" t="s">
        <v>44</v>
      </c>
      <c r="C6" s="24"/>
    </row>
    <row r="7" spans="1:3" ht="15.75" x14ac:dyDescent="0.3">
      <c r="A7" s="56"/>
      <c r="B7" s="70" t="s">
        <v>47</v>
      </c>
      <c r="C7" s="27"/>
    </row>
    <row r="8" spans="1:3" x14ac:dyDescent="0.25">
      <c r="A8" s="56"/>
      <c r="C8" s="56"/>
    </row>
    <row r="9" spans="1:3" ht="15.75" x14ac:dyDescent="0.3">
      <c r="A9" s="56"/>
      <c r="B9" s="29" t="s">
        <v>432</v>
      </c>
      <c r="C9" s="74"/>
    </row>
    <row r="10" spans="1:3" ht="16.5" thickBot="1" x14ac:dyDescent="0.35">
      <c r="B10" s="30" t="s">
        <v>439</v>
      </c>
      <c r="C10" s="31"/>
    </row>
    <row r="11" spans="1:3" ht="15.75" thickBot="1" x14ac:dyDescent="0.3"/>
    <row r="12" spans="1:3" ht="15.75" x14ac:dyDescent="0.3">
      <c r="B12" s="33" t="s">
        <v>445</v>
      </c>
    </row>
    <row r="13" spans="1:3" ht="16.5" thickBot="1" x14ac:dyDescent="0.35">
      <c r="B13" s="124"/>
      <c r="C13" s="21"/>
    </row>
    <row r="18" spans="2:3" ht="15.75" x14ac:dyDescent="0.3">
      <c r="B18" s="21"/>
      <c r="C18" s="21"/>
    </row>
    <row r="19" spans="2:3" ht="15.75" x14ac:dyDescent="0.3">
      <c r="C19" s="21"/>
    </row>
    <row r="20" spans="2:3" x14ac:dyDescent="0.25">
      <c r="B20" s="6"/>
    </row>
    <row r="100" spans="1:1" x14ac:dyDescent="0.25">
      <c r="A100" s="3">
        <v>14</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401" r:id="rId3" name="Button 1">
              <controlPr defaultSize="0" print="0" autoFill="0" autoPict="0" macro="[0]!Limpia">
                <anchor moveWithCells="1" sizeWithCells="1">
                  <from>
                    <xdr:col>4</xdr:col>
                    <xdr:colOff>190500</xdr:colOff>
                    <xdr:row>1</xdr:row>
                    <xdr:rowOff>180975</xdr:rowOff>
                  </from>
                  <to>
                    <xdr:col>4</xdr:col>
                    <xdr:colOff>1200150</xdr:colOff>
                    <xdr:row>1</xdr:row>
                    <xdr:rowOff>581025</xdr:rowOff>
                  </to>
                </anchor>
              </controlPr>
            </control>
          </mc:Choice>
        </mc:AlternateContent>
        <mc:AlternateContent xmlns:mc="http://schemas.openxmlformats.org/markup-compatibility/2006">
          <mc:Choice Requires="x14">
            <control shapeId="102402" r:id="rId4" name="Button 2">
              <controlPr defaultSize="0" print="0" autoFill="0" autoPict="0" macro="[0]!Regresar">
                <anchor moveWithCells="1" sizeWithCells="1">
                  <from>
                    <xdr:col>4</xdr:col>
                    <xdr:colOff>1495425</xdr:colOff>
                    <xdr:row>1</xdr:row>
                    <xdr:rowOff>180975</xdr:rowOff>
                  </from>
                  <to>
                    <xdr:col>4</xdr:col>
                    <xdr:colOff>2505075</xdr:colOff>
                    <xdr:row>1</xdr:row>
                    <xdr:rowOff>581025</xdr:rowOff>
                  </to>
                </anchor>
              </controlPr>
            </control>
          </mc:Choice>
        </mc:AlternateContent>
        <mc:AlternateContent xmlns:mc="http://schemas.openxmlformats.org/markup-compatibility/2006">
          <mc:Choice Requires="x14">
            <control shapeId="102403" r:id="rId5" name="Button 3">
              <controlPr defaultSize="0" print="0" autoFill="0" autoPict="0" macro="[0]!Guardar">
                <anchor moveWithCells="1" sizeWithCells="1">
                  <from>
                    <xdr:col>4</xdr:col>
                    <xdr:colOff>2800350</xdr:colOff>
                    <xdr:row>1</xdr:row>
                    <xdr:rowOff>180975</xdr:rowOff>
                  </from>
                  <to>
                    <xdr:col>5</xdr:col>
                    <xdr:colOff>47625</xdr:colOff>
                    <xdr:row>1</xdr:row>
                    <xdr:rowOff>581025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229A83-8A8D-4975-8859-F8DD5CA86271}">
  <sheetPr codeName="Hoja21"/>
  <dimension ref="A2:D100"/>
  <sheetViews>
    <sheetView workbookViewId="0">
      <selection activeCell="C10" sqref="C10"/>
    </sheetView>
  </sheetViews>
  <sheetFormatPr baseColWidth="10" defaultColWidth="11.42578125" defaultRowHeight="15" x14ac:dyDescent="0.25"/>
  <cols>
    <col min="1" max="1" width="24.140625" style="3" customWidth="1"/>
    <col min="2" max="2" width="62.85546875" style="3" customWidth="1"/>
    <col min="3" max="4" width="11.42578125" style="3"/>
    <col min="5" max="5" width="56.42578125" style="3" bestFit="1" customWidth="1"/>
    <col min="6" max="7" width="11.42578125" style="3"/>
    <col min="8" max="8" width="38.42578125" style="3" customWidth="1"/>
    <col min="9" max="10" width="11.42578125" style="3"/>
    <col min="11" max="11" width="38.42578125" style="3" customWidth="1"/>
    <col min="12" max="12" width="11.42578125" style="3"/>
    <col min="13" max="13" width="11.42578125" style="3" customWidth="1"/>
    <col min="14" max="14" width="38.42578125" style="3" customWidth="1"/>
    <col min="15" max="16384" width="11.42578125" style="3"/>
  </cols>
  <sheetData>
    <row r="2" spans="1:4" ht="46.5" customHeight="1" x14ac:dyDescent="0.25">
      <c r="B2" s="99" t="s">
        <v>446</v>
      </c>
    </row>
    <row r="3" spans="1:4" ht="19.5" customHeight="1" thickBot="1" x14ac:dyDescent="0.3"/>
    <row r="4" spans="1:4" ht="15.75" x14ac:dyDescent="0.3">
      <c r="B4" s="10" t="s">
        <v>447</v>
      </c>
      <c r="C4" s="11" t="s">
        <v>425</v>
      </c>
      <c r="D4" s="12"/>
    </row>
    <row r="5" spans="1:4" ht="30" customHeight="1" x14ac:dyDescent="0.3">
      <c r="B5" s="19" t="s">
        <v>427</v>
      </c>
      <c r="C5" s="20">
        <v>1</v>
      </c>
      <c r="D5" s="21"/>
    </row>
    <row r="6" spans="1:4" ht="15.75" x14ac:dyDescent="0.3">
      <c r="B6" s="23" t="s">
        <v>44</v>
      </c>
      <c r="C6" s="24"/>
      <c r="D6" s="21"/>
    </row>
    <row r="7" spans="1:4" ht="15.75" x14ac:dyDescent="0.3">
      <c r="A7" s="56"/>
      <c r="B7" s="70" t="s">
        <v>47</v>
      </c>
      <c r="C7" s="27"/>
      <c r="D7" s="21"/>
    </row>
    <row r="8" spans="1:4" x14ac:dyDescent="0.25">
      <c r="A8" s="56"/>
      <c r="C8" s="56"/>
      <c r="D8" s="81"/>
    </row>
    <row r="9" spans="1:4" ht="15.75" x14ac:dyDescent="0.3">
      <c r="A9" s="56"/>
      <c r="B9" s="29" t="s">
        <v>432</v>
      </c>
      <c r="C9" s="74"/>
      <c r="D9" s="81"/>
    </row>
    <row r="10" spans="1:4" ht="16.5" thickBot="1" x14ac:dyDescent="0.35">
      <c r="B10" s="30" t="s">
        <v>439</v>
      </c>
      <c r="C10" s="31"/>
    </row>
    <row r="11" spans="1:4" ht="15.75" thickBot="1" x14ac:dyDescent="0.3"/>
    <row r="12" spans="1:4" ht="15.75" x14ac:dyDescent="0.3">
      <c r="B12" s="33" t="s">
        <v>448</v>
      </c>
    </row>
    <row r="13" spans="1:4" ht="16.5" thickBot="1" x14ac:dyDescent="0.35">
      <c r="B13" s="124"/>
      <c r="C13" s="21"/>
    </row>
    <row r="18" spans="2:3" ht="15.75" x14ac:dyDescent="0.3">
      <c r="B18" s="21"/>
      <c r="C18" s="21"/>
    </row>
    <row r="19" spans="2:3" ht="15.75" x14ac:dyDescent="0.3">
      <c r="C19" s="21"/>
    </row>
    <row r="100" spans="1:1" x14ac:dyDescent="0.25">
      <c r="A100" s="3">
        <v>15</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7521" r:id="rId3" name="Button 1">
              <controlPr defaultSize="0" print="0" autoFill="0" autoPict="0" macro="[0]!Limpia">
                <anchor moveWithCells="1" sizeWithCells="1">
                  <from>
                    <xdr:col>4</xdr:col>
                    <xdr:colOff>190500</xdr:colOff>
                    <xdr:row>1</xdr:row>
                    <xdr:rowOff>180975</xdr:rowOff>
                  </from>
                  <to>
                    <xdr:col>4</xdr:col>
                    <xdr:colOff>1200150</xdr:colOff>
                    <xdr:row>1</xdr:row>
                    <xdr:rowOff>581025</xdr:rowOff>
                  </to>
                </anchor>
              </controlPr>
            </control>
          </mc:Choice>
        </mc:AlternateContent>
        <mc:AlternateContent xmlns:mc="http://schemas.openxmlformats.org/markup-compatibility/2006">
          <mc:Choice Requires="x14">
            <control shapeId="107522" r:id="rId4" name="Button 2">
              <controlPr defaultSize="0" print="0" autoFill="0" autoPict="0" macro="[0]!Regresar">
                <anchor moveWithCells="1" sizeWithCells="1">
                  <from>
                    <xdr:col>4</xdr:col>
                    <xdr:colOff>1466850</xdr:colOff>
                    <xdr:row>1</xdr:row>
                    <xdr:rowOff>180975</xdr:rowOff>
                  </from>
                  <to>
                    <xdr:col>4</xdr:col>
                    <xdr:colOff>2476500</xdr:colOff>
                    <xdr:row>1</xdr:row>
                    <xdr:rowOff>581025</xdr:rowOff>
                  </to>
                </anchor>
              </controlPr>
            </control>
          </mc:Choice>
        </mc:AlternateContent>
        <mc:AlternateContent xmlns:mc="http://schemas.openxmlformats.org/markup-compatibility/2006">
          <mc:Choice Requires="x14">
            <control shapeId="107523" r:id="rId5" name="Button 3">
              <controlPr defaultSize="0" print="0" autoFill="0" autoPict="0" macro="[0]!Guardar">
                <anchor moveWithCells="1" sizeWithCells="1">
                  <from>
                    <xdr:col>4</xdr:col>
                    <xdr:colOff>2752725</xdr:colOff>
                    <xdr:row>1</xdr:row>
                    <xdr:rowOff>180975</xdr:rowOff>
                  </from>
                  <to>
                    <xdr:col>5</xdr:col>
                    <xdr:colOff>0</xdr:colOff>
                    <xdr:row>1</xdr:row>
                    <xdr:rowOff>581025</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58836604-5f37-4b8e-bcbc-53d7094fac5d">
      <UserInfo>
        <DisplayName>Xinol Hernández Waldo Azael</DisplayName>
        <AccountId>37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o" ma:contentTypeID="0x0101006E2D4FE64227C4409D20C922F3CA5CC5" ma:contentTypeVersion="4" ma:contentTypeDescription="Crear nuevo documento." ma:contentTypeScope="" ma:versionID="9bb6c29603a9c702dcc57fa5b809ddd8">
  <xsd:schema xmlns:xsd="http://www.w3.org/2001/XMLSchema" xmlns:xs="http://www.w3.org/2001/XMLSchema" xmlns:p="http://schemas.microsoft.com/office/2006/metadata/properties" xmlns:ns2="0867dcd6-1cf1-460a-a372-00b34ce36306" xmlns:ns3="58836604-5f37-4b8e-bcbc-53d7094fac5d" targetNamespace="http://schemas.microsoft.com/office/2006/metadata/properties" ma:root="true" ma:fieldsID="dcb91f286db452b81f675b9c8fe9be42" ns2:_="" ns3:_="">
    <xsd:import namespace="0867dcd6-1cf1-460a-a372-00b34ce36306"/>
    <xsd:import namespace="58836604-5f37-4b8e-bcbc-53d7094fac5d"/>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867dcd6-1cf1-460a-a372-00b34ce3630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58836604-5f37-4b8e-bcbc-53d7094fac5d" elementFormDefault="qualified">
    <xsd:import namespace="http://schemas.microsoft.com/office/2006/documentManagement/types"/>
    <xsd:import namespace="http://schemas.microsoft.com/office/infopath/2007/PartnerControls"/>
    <xsd:element name="SharedWithUsers" ma:index="10" nillable="true" ma:displayName="Compartid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Detalles de uso compartido"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D2220F7-A574-4664-9CAF-72D4CE02EBE7}">
  <ds:schemaRefs>
    <ds:schemaRef ds:uri="http://schemas.microsoft.com/sharepoint/v3/contenttype/forms"/>
  </ds:schemaRefs>
</ds:datastoreItem>
</file>

<file path=customXml/itemProps2.xml><?xml version="1.0" encoding="utf-8"?>
<ds:datastoreItem xmlns:ds="http://schemas.openxmlformats.org/officeDocument/2006/customXml" ds:itemID="{2F2F6BA0-0A77-4267-AF78-761DE7C7DC04}">
  <ds:schemaRefs>
    <ds:schemaRef ds:uri="http://schemas.microsoft.com/office/2006/metadata/properties"/>
    <ds:schemaRef ds:uri="0867dcd6-1cf1-460a-a372-00b34ce36306"/>
    <ds:schemaRef ds:uri="http://purl.org/dc/elements/1.1/"/>
    <ds:schemaRef ds:uri="http://purl.org/dc/terms/"/>
    <ds:schemaRef ds:uri="http://schemas.openxmlformats.org/package/2006/metadata/core-properties"/>
    <ds:schemaRef ds:uri="http://purl.org/dc/dcmitype/"/>
    <ds:schemaRef ds:uri="http://schemas.microsoft.com/office/infopath/2007/PartnerControls"/>
    <ds:schemaRef ds:uri="http://schemas.microsoft.com/office/2006/documentManagement/types"/>
    <ds:schemaRef ds:uri="58836604-5f37-4b8e-bcbc-53d7094fac5d"/>
    <ds:schemaRef ds:uri="http://www.w3.org/XML/1998/namespace"/>
  </ds:schemaRefs>
</ds:datastoreItem>
</file>

<file path=customXml/itemProps3.xml><?xml version="1.0" encoding="utf-8"?>
<ds:datastoreItem xmlns:ds="http://schemas.openxmlformats.org/officeDocument/2006/customXml" ds:itemID="{3C072832-7A38-420B-8734-78E9CA388B2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867dcd6-1cf1-460a-a372-00b34ce36306"/>
    <ds:schemaRef ds:uri="58836604-5f37-4b8e-bcbc-53d7094fac5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19</vt:i4>
      </vt:variant>
    </vt:vector>
  </HeadingPairs>
  <TitlesOfParts>
    <vt:vector size="19" baseType="lpstr">
      <vt:lpstr>Inicio</vt:lpstr>
      <vt:lpstr>Aux</vt:lpstr>
      <vt:lpstr>Instructivo</vt:lpstr>
      <vt:lpstr>S.E.-Filial</vt:lpstr>
      <vt:lpstr>S.E.-NoFilial</vt:lpstr>
      <vt:lpstr>Prestadores</vt:lpstr>
      <vt:lpstr>Aspectos Admon-Ope</vt:lpstr>
      <vt:lpstr>Excepciones</vt:lpstr>
      <vt:lpstr>ReqSOFOM</vt:lpstr>
      <vt:lpstr>ReqExcepciones</vt:lpstr>
      <vt:lpstr>Catalogo Ref</vt:lpstr>
      <vt:lpstr>Subcontratación</vt:lpstr>
      <vt:lpstr>S.N.-SubyER</vt:lpstr>
      <vt:lpstr>S.N.-NoSubyER</vt:lpstr>
      <vt:lpstr>Aspectos Supervisión</vt:lpstr>
      <vt:lpstr>Evaluación</vt:lpstr>
      <vt:lpstr>Datos</vt:lpstr>
      <vt:lpstr>EvaluaciónExcep</vt:lpstr>
      <vt:lpstr>EvaluaciónSOFOM</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Xinol Hernández Waldo Azael</dc:creator>
  <cp:keywords/>
  <dc:description/>
  <cp:lastModifiedBy>Xinol Hernández Waldo Azael</cp:lastModifiedBy>
  <cp:revision/>
  <dcterms:created xsi:type="dcterms:W3CDTF">2023-04-24T15:52:20Z</dcterms:created>
  <dcterms:modified xsi:type="dcterms:W3CDTF">2023-07-14T17:56:37Z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be6e7b8d-5e98-4139-9919-74b5751cb1eb</vt:lpwstr>
  </property>
  <property fmtid="{D5CDD505-2E9C-101B-9397-08002B2CF9AE}" pid="3" name="ContentTypeId">
    <vt:lpwstr>0x0101006E2D4FE64227C4409D20C922F3CA5CC5</vt:lpwstr>
  </property>
  <property fmtid="{D5CDD505-2E9C-101B-9397-08002B2CF9AE}" pid="4" name="Order">
    <vt:r8>3788200</vt:r8>
  </property>
  <property fmtid="{D5CDD505-2E9C-101B-9397-08002B2CF9AE}" pid="5" name="TriggerFlowInfo">
    <vt:lpwstr/>
  </property>
  <property fmtid="{D5CDD505-2E9C-101B-9397-08002B2CF9AE}" pid="6" name="ComplianceAssetId">
    <vt:lpwstr/>
  </property>
  <property fmtid="{D5CDD505-2E9C-101B-9397-08002B2CF9AE}" pid="7" name="_ExtendedDescription">
    <vt:lpwstr/>
  </property>
</Properties>
</file>